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AD" sheetId="1" r:id="rId5"/>
    <sheet state="visible" name="omniglot" sheetId="2" r:id="rId6"/>
    <sheet state="visible" name="miniImageNet" sheetId="3" r:id="rId7"/>
    <sheet state="visible" name="Sheet5" sheetId="4" r:id="rId8"/>
    <sheet state="visible" name="Glove-25" sheetId="5" r:id="rId9"/>
    <sheet state="visible" name="Glove-50" sheetId="6" r:id="rId10"/>
    <sheet state="visible" name="Glove-100" sheetId="7" r:id="rId11"/>
    <sheet state="visible" name="Glove-200" sheetId="8" r:id="rId12"/>
    <sheet state="visible" name="nytimes" sheetId="9" r:id="rId13"/>
    <sheet state="visible" name="Sheet7" sheetId="10" r:id="rId14"/>
    <sheet state="visible" name="Sheet8" sheetId="11" r:id="rId15"/>
    <sheet state="visible" name="Sheet9" sheetId="12" r:id="rId16"/>
    <sheet state="visible" name="Sheet10" sheetId="13" r:id="rId17"/>
  </sheets>
  <definedNames/>
  <calcPr/>
</workbook>
</file>

<file path=xl/sharedStrings.xml><?xml version="1.0" encoding="utf-8"?>
<sst xmlns="http://schemas.openxmlformats.org/spreadsheetml/2006/main" count="2396" uniqueCount="925">
  <si>
    <t>Trial 1</t>
  </si>
  <si>
    <t>Trial 2</t>
  </si>
  <si>
    <t>Trial 3</t>
  </si>
  <si>
    <t>Trial 4</t>
  </si>
  <si>
    <t>Trial 5</t>
  </si>
  <si>
    <t>miniImageNet</t>
  </si>
  <si>
    <t>Metric</t>
  </si>
  <si>
    <t>Accuracy</t>
  </si>
  <si>
    <t>Angle</t>
  </si>
  <si>
    <t>Mean of Angle</t>
  </si>
  <si>
    <t>STD of Angle</t>
  </si>
  <si>
    <t>Cosine</t>
  </si>
  <si>
    <t>Complementary Querying</t>
  </si>
  <si>
    <t>Locality-Sensitive Hashing</t>
  </si>
  <si>
    <t>Mean of Diff</t>
  </si>
  <si>
    <t>STD of Diff</t>
  </si>
  <si>
    <t>Cauchy–Schwarz inequality</t>
  </si>
  <si>
    <t>1 - cos()</t>
  </si>
  <si>
    <t>1 - cos() (Dseg=8)</t>
  </si>
  <si>
    <t>(Dseg=8)</t>
  </si>
  <si>
    <t>2 - cos()</t>
  </si>
  <si>
    <t>1 - cos() (Dseg=7)</t>
  </si>
  <si>
    <t>(Dseg=7)</t>
  </si>
  <si>
    <t>3 - cos()</t>
  </si>
  <si>
    <t>1 - cos() (Dseg=6)</t>
  </si>
  <si>
    <t>(Dseg=6)</t>
  </si>
  <si>
    <t>4 - cos()</t>
  </si>
  <si>
    <t>1 - cos() (Dseg=5)</t>
  </si>
  <si>
    <t>(Dseg=5)</t>
  </si>
  <si>
    <t>5 - cos()</t>
  </si>
  <si>
    <t>1 - cos() (Dseg=4)</t>
  </si>
  <si>
    <t>(Dseg=4)</t>
  </si>
  <si>
    <t>1 + cos()</t>
  </si>
  <si>
    <t>1 - cos() (Dseg=3)</t>
  </si>
  <si>
    <t>(Dseg=3)</t>
  </si>
  <si>
    <t>2 + cos()</t>
  </si>
  <si>
    <t>1 - cos() (Dseg=2)</t>
  </si>
  <si>
    <t>(Dseg=2)</t>
  </si>
  <si>
    <t>3 + cos()</t>
  </si>
  <si>
    <t>1 + cos() (Dseg=8)</t>
  </si>
  <si>
    <t>Jensen's inequality</t>
  </si>
  <si>
    <t>4 + cos()</t>
  </si>
  <si>
    <t>1 + cos() (Dseg=7)</t>
  </si>
  <si>
    <t>5 + cos()</t>
  </si>
  <si>
    <t>1 + cos() (Dseg=6)</t>
  </si>
  <si>
    <t>1 + cos() (Dseg=5)</t>
  </si>
  <si>
    <t>1 + cos() (Dseg=4)</t>
  </si>
  <si>
    <t>1 + cos() (Dseg=3)</t>
  </si>
  <si>
    <t>1 + cos() (Dseg=2)</t>
  </si>
  <si>
    <t>NaN</t>
  </si>
  <si>
    <t>Minimum Clamping</t>
  </si>
  <si>
    <t xml:space="preserve"> (Dseg=2) / -10</t>
  </si>
  <si>
    <t>(Dseg=2) / -9</t>
  </si>
  <si>
    <t>(Dseg=2) / -8</t>
  </si>
  <si>
    <t>(Dseg=2) / -7</t>
  </si>
  <si>
    <t>(Dseg=2) / -6</t>
  </si>
  <si>
    <t>(Dseg=2) / -5</t>
  </si>
  <si>
    <t>(Dseg=2) / -4</t>
  </si>
  <si>
    <t>(Dseg=2) / -3</t>
  </si>
  <si>
    <t>(Dseg=2) / -2</t>
  </si>
  <si>
    <t>(Dseg=2) / -1</t>
  </si>
  <si>
    <t>(Dseg=2) / -0</t>
  </si>
  <si>
    <t>1 - cos() (Dseg=2) / -10</t>
  </si>
  <si>
    <t>1 - cos() (Dseg=2) / -9</t>
  </si>
  <si>
    <t>1 - cos() (Dseg=2) / -8</t>
  </si>
  <si>
    <t>1 - cos() (Dseg=2) / -7</t>
  </si>
  <si>
    <t>1 - cos() (Dseg=2) / -6</t>
  </si>
  <si>
    <t>1 - cos() (Dseg=2) / -5</t>
  </si>
  <si>
    <t>1 - cos() (Dseg=2) / -4</t>
  </si>
  <si>
    <t>1 - cos() (Dseg=2) / -3</t>
  </si>
  <si>
    <t>1 - cos() (Dseg=2) / -2</t>
  </si>
  <si>
    <t>1 - cos() (Dseg=2) / -1</t>
  </si>
  <si>
    <t>1 - cos() (Dseg=2) / -0</t>
  </si>
  <si>
    <t>1 + cos() (Dseg=2) / -10</t>
  </si>
  <si>
    <t>1 + cos() (Dseg=2) / -9</t>
  </si>
  <si>
    <t>1 + cos() (Dseg=2) / -8</t>
  </si>
  <si>
    <t>1 + cos() (Dseg=2) / -7</t>
  </si>
  <si>
    <t>1 + cos() (Dseg=2) / -6</t>
  </si>
  <si>
    <t>1 + cos() (Dseg=2) / -5</t>
  </si>
  <si>
    <t>1 + cos() (Dseg=2) / -4</t>
  </si>
  <si>
    <t>1 + cos() (Dseg=2) / -3</t>
  </si>
  <si>
    <t>1 + cos() (Dseg=2) / -2</t>
  </si>
  <si>
    <t>1 + cos() (Dseg=2) / -1</t>
  </si>
  <si>
    <t>1 + cos() (Dseg=2) / -0</t>
  </si>
  <si>
    <t>Glove-25</t>
  </si>
  <si>
    <t>Glove-50</t>
  </si>
  <si>
    <t>Glove-100</t>
  </si>
  <si>
    <t>Glove-200</t>
  </si>
  <si>
    <t>NYTimes</t>
  </si>
  <si>
    <t>1000 / 50</t>
  </si>
  <si>
    <t>CSI</t>
  </si>
  <si>
    <t>1000 website / 50 questions</t>
  </si>
  <si>
    <t>JI</t>
  </si>
  <si>
    <t>Recall</t>
  </si>
  <si>
    <t>1 @ 1</t>
  </si>
  <si>
    <t>1 @ 2</t>
  </si>
  <si>
    <t>1 @ 3</t>
  </si>
  <si>
    <t>1 @ 4</t>
  </si>
  <si>
    <t>1 @ 5</t>
  </si>
  <si>
    <t>TLE</t>
  </si>
  <si>
    <t>Floating Point (FP32)</t>
  </si>
  <si>
    <t>Fixed-Point INT3</t>
  </si>
  <si>
    <t xml:space="preserve"> 3.2 : 2 / 2.9 : 32 / 2.8 : 26 / 3.0: 12. // 2.8: 68 / 2.9: 56 / 3.0 : 26</t>
  </si>
  <si>
    <t>L1</t>
  </si>
  <si>
    <t>Hamming Distance</t>
  </si>
  <si>
    <t>Cosine Aggregation</t>
  </si>
  <si>
    <t>Theory</t>
  </si>
  <si>
    <t>L2-Norm</t>
  </si>
  <si>
    <t>1 - cos() (Dseg=1)</t>
  </si>
  <si>
    <t>(Dseg=1)</t>
  </si>
  <si>
    <t>Angle Aggregation</t>
  </si>
  <si>
    <t>1 + cos() (Dseg=1)</t>
  </si>
  <si>
    <t>ln(1-cos)</t>
  </si>
  <si>
    <t>ln(1+cos)</t>
  </si>
  <si>
    <t>Taylor Expansion at θ=90</t>
  </si>
  <si>
    <t>Complementary</t>
  </si>
  <si>
    <t>(Dseg=8) / -3</t>
  </si>
  <si>
    <t>(Dseg=7) / -3</t>
  </si>
  <si>
    <t>(Dseg=6) / -2.9</t>
  </si>
  <si>
    <t>(Dseg=5) / -2.9</t>
  </si>
  <si>
    <t>(Dseg=4) / -2.8</t>
  </si>
  <si>
    <t>(Dseg=3) / -2.8</t>
  </si>
  <si>
    <t>(Dseg=2) / -2.9</t>
  </si>
  <si>
    <t>(Dseg=1) / -3.5</t>
  </si>
  <si>
    <t>(Dseg=8) / 0.4</t>
  </si>
  <si>
    <t>(Dseg=7) / 0.4</t>
  </si>
  <si>
    <t>(Dseg=6) / 0.4</t>
  </si>
  <si>
    <t>(Dseg=5) / 0.4</t>
  </si>
  <si>
    <t>(Dseg=4) / 0.4</t>
  </si>
  <si>
    <t>(Dseg=3) / 0.3</t>
  </si>
  <si>
    <t>(Dseg=2) / 0.3</t>
  </si>
  <si>
    <t>(Dseg=1) / -3.4</t>
  </si>
  <si>
    <t>(Dseg=8) / -3.5</t>
  </si>
  <si>
    <t>(Dseg=7) / -3.3</t>
  </si>
  <si>
    <t>(Dseg=6) / -3.3</t>
  </si>
  <si>
    <t>(Dseg=5) / -3.3</t>
  </si>
  <si>
    <t>(Dseg=4) / -3.3</t>
  </si>
  <si>
    <t>(Dseg=3) / -3.3</t>
  </si>
  <si>
    <t>(Dseg=2) / -3.6</t>
  </si>
  <si>
    <t>1 - cos() (Dseg=8) / -2.5</t>
  </si>
  <si>
    <t>mag_dot</t>
  </si>
  <si>
    <t>cosine theta</t>
  </si>
  <si>
    <t>1 - cos() (Dseg=7) / -2.4</t>
  </si>
  <si>
    <t>correlation</t>
  </si>
  <si>
    <t>mean gap</t>
  </si>
  <si>
    <t>1 - cos() (Dseg=6) / -2.3</t>
  </si>
  <si>
    <t>1 - cos() (Dseg=5) / -2.2</t>
  </si>
  <si>
    <t>1 - cos() (Dseg=4) / -2.1</t>
  </si>
  <si>
    <t>1 - cos() (Dseg=3) / -2.1</t>
  </si>
  <si>
    <t>1 - cos() (Dseg=2) / -2.1</t>
  </si>
  <si>
    <t>1 - cos() (Dseg=1) / -2.1</t>
  </si>
  <si>
    <t xml:space="preserve">Taylor Expansion </t>
  </si>
  <si>
    <t>high</t>
  </si>
  <si>
    <t>low</t>
  </si>
  <si>
    <t>1 - cos() (Dseg=6) / 0.7 / -1.8</t>
  </si>
  <si>
    <t>better</t>
  </si>
  <si>
    <t>upper bound</t>
  </si>
  <si>
    <t>lower bound</t>
  </si>
  <si>
    <t>1 - cos() (Dseg=5) / 0.6 / -1.8</t>
  </si>
  <si>
    <t>big</t>
  </si>
  <si>
    <t>small</t>
  </si>
  <si>
    <t>1 - cos() (Dseg=4) / 0.6 / -1.8</t>
  </si>
  <si>
    <t xml:space="preserve">accuracy </t>
  </si>
  <si>
    <t>drop big</t>
  </si>
  <si>
    <t>1 - cos() (Dseg=3) / 0.5 / -2</t>
  </si>
  <si>
    <t>1 - cos() (Dseg=2) / 0.5 / -2</t>
  </si>
  <si>
    <t>1 - cos() (Dseg=1) / 0.6 / 0</t>
  </si>
  <si>
    <t>1 + cos() (Dseg=2) / -0.1</t>
  </si>
  <si>
    <t>1 +- cos() (Dseg=2) / -2.3</t>
  </si>
  <si>
    <t>1 - cos() (Dseg=2) / 0.3 / -2.6</t>
  </si>
  <si>
    <t>1 - cos() (Dseg=2) / 0.4 / -2.3</t>
  </si>
  <si>
    <t>1 - cos() (Dseg=2) / 0.5 / -2.0</t>
  </si>
  <si>
    <t>1 - cos() (Dseg=2) / 0.6 / -1.8</t>
  </si>
  <si>
    <t>1 - cos() (Dseg=2) / 0.7 / -1.6</t>
  </si>
  <si>
    <t>1 + cos() (Dseg=2) / 0.5 / 1.2</t>
  </si>
  <si>
    <t>1 + cos() (Dseg=2) / 0.6 / 0.8</t>
  </si>
  <si>
    <t>1 + cos() (Dseg=2) / 0.7 / 0.6</t>
  </si>
  <si>
    <t>1 + cos() (Dseg=2) / 0.8 / 0.4</t>
  </si>
  <si>
    <t>1 + cos() (Dseg=2) / 0.9 / 0.3</t>
  </si>
  <si>
    <t>1 + cos() (Dseg=2) / 1.0 / 0.3</t>
  </si>
  <si>
    <t>1 +- cos() (Dseg=2) / 0.5 / 1.0</t>
  </si>
  <si>
    <t>1 +- cos() (Dseg=2) / 0.6 / 0.7</t>
  </si>
  <si>
    <t>1 +- cos() (Dseg=2) / 0.7 / 0.4</t>
  </si>
  <si>
    <t>1 +- cos() (Dseg=2) / 0.8 / 0.2</t>
  </si>
  <si>
    <t>1 +- cos() (Dseg=2) / 0.9 / 0.1</t>
  </si>
  <si>
    <t>Quantize Angle / N</t>
  </si>
  <si>
    <t>Quantize Magnitude / N</t>
  </si>
  <si>
    <t>Clamp with zero</t>
  </si>
  <si>
    <t xml:space="preserve">Encoding </t>
  </si>
  <si>
    <t>1 - cos() (Dseg=2) / 0.3 / -2.1</t>
  </si>
  <si>
    <t>1 - cos() (Dseg=2) / 0.4 / -2</t>
  </si>
  <si>
    <t>1 - cos() (Dseg=2) / 0.5 / -1.9</t>
  </si>
  <si>
    <t>1 + cos() (Dseg=2) / 0.1 / -3.4</t>
  </si>
  <si>
    <t>1 + cos() (Dseg=2) / 0.2 / -2.9</t>
  </si>
  <si>
    <t>1 + cos() (Dseg=2) / 0.3 / -2.5</t>
  </si>
  <si>
    <t>1 + cos() (Dseg=2) / 0.4 / -2.1</t>
  </si>
  <si>
    <t>1 + cos() (Dseg=2) / 0.5 / -1.6</t>
  </si>
  <si>
    <t>1 + cos() (Dseg=2) / 0.6 / -1.3</t>
  </si>
  <si>
    <t>1 +- cos() (Dseg=2) / 0.3 / -2.0</t>
  </si>
  <si>
    <t>1 +- cos() (Dseg=2) / 0.4 / -1.9</t>
  </si>
  <si>
    <t>1 +- cos() (Dseg=2) / 0.5/ -1.8</t>
  </si>
  <si>
    <t>N</t>
  </si>
  <si>
    <t>0.5/-1.8</t>
  </si>
  <si>
    <t>0.4 / -3.9</t>
  </si>
  <si>
    <t>0.4 / -2.4</t>
  </si>
  <si>
    <t>0.4 / -2.0</t>
  </si>
  <si>
    <t>0.4 / -2.2</t>
  </si>
  <si>
    <t>0.4 / -2.8</t>
  </si>
  <si>
    <t>Normalization</t>
  </si>
  <si>
    <t>1 - cos() (Dseg=2) / 0.3 / -2.7</t>
  </si>
  <si>
    <t>1 - cos() (Dseg=2) / 0.4 / -2.1</t>
  </si>
  <si>
    <t>1 - cos() (Dseg=2) / 0.5 / -1.8</t>
  </si>
  <si>
    <t>1 + cos() (Dseg=2) / 0.2 / -2.6</t>
  </si>
  <si>
    <t>1 + cos() (Dseg=2) / 0.3 / -1.8</t>
  </si>
  <si>
    <t>1 + cos() (Dseg=2) / 0.4 / -1.6</t>
  </si>
  <si>
    <t>1 + cos() (Dseg=2) / 0.5 / -1.4</t>
  </si>
  <si>
    <t>1 +- cos() (Dseg=2) / 0.4 / -1.7</t>
  </si>
  <si>
    <t>1 +- cos() (Dseg=2) / 0.5 / -1.5</t>
  </si>
  <si>
    <t>1 +- cos() (Dseg=2) / 0.6 / -1.4</t>
  </si>
  <si>
    <t>Float</t>
  </si>
  <si>
    <t>0.687855999999998 / 0.717610999999994 (0.4, -2.2)</t>
  </si>
  <si>
    <t>0.883648999999974 / 0.8842629999999779 (0.4, -1.7)</t>
  </si>
  <si>
    <t>0.935085999999954 /  0.9421809999999481 (0.4, -1.7)</t>
  </si>
  <si>
    <t>0.708517999999997 / 0.7501329999999962 (0.4, -2.2)</t>
  </si>
  <si>
    <t>0.893877999999975 /  0.8982279999999697 (0.4, -1.8)</t>
  </si>
  <si>
    <t>0.939761999999955 / 0.9420109999999531 (0.4, -1.9)</t>
  </si>
  <si>
    <t>0.949795999999947 / 0.9515829999999491(0.4, -1.8)</t>
  </si>
  <si>
    <t>0.952230999999942 / 0.953920999999945 (0.4, -1.7)</t>
  </si>
  <si>
    <t>0.952910999999941 / 0.9546409999999487 (0.4, -1.8)</t>
  </si>
  <si>
    <t>0.720269999999997 / 0.7715549999999949 (0.4, -2.4)</t>
  </si>
  <si>
    <t>0.892224999999975 / 0.9052219999999724 (0.4, -2.0)</t>
  </si>
  <si>
    <t>0.942325999999954 (0.4, -1.9)</t>
  </si>
  <si>
    <t>0.949483999999946 (0.4,-1.9)</t>
  </si>
  <si>
    <t>0.9513249999999464 (0.4, -1.9)</t>
  </si>
  <si>
    <t>0.944724999999952 / 0.9519779999999477 (0.4, -1.9)</t>
  </si>
  <si>
    <t>0.725151999999998 / 0.7862469999999967 (0.4, -2.4)</t>
  </si>
  <si>
    <t>0.906324999999966 (0.4, -2.1)</t>
  </si>
  <si>
    <t>0.937885999999953 (0.4, -2.1)</t>
  </si>
  <si>
    <t>0.725560999999993 / 0.7959639999999948 (0.4, -2.5)</t>
  </si>
  <si>
    <t>0.905320999999967 (0.4, -2.2)</t>
  </si>
  <si>
    <t>0.72481799999999 / 0.8028069999999913 (0.4, -2.7)</t>
  </si>
  <si>
    <t>0.901950999999968 (0.4, -2.4)</t>
  </si>
  <si>
    <t>0.80707699999999 (0.4, -2.7)</t>
  </si>
  <si>
    <t>0.809178999999993 (0.4, -2.7)</t>
  </si>
  <si>
    <t>0.570609 / 0.5994970000000004 (0.4, -2.2)</t>
  </si>
  <si>
    <t>0.810538999999992 (0.4, -2.7)</t>
  </si>
  <si>
    <t>0.57678 / 0.6052290000000005 (0.4, -2.2)</t>
  </si>
  <si>
    <t>0.810039999999988 (0.4, -2.7)</t>
  </si>
  <si>
    <t>0.809609999999996 (0.4, -2.7)</t>
  </si>
  <si>
    <t>w / query</t>
  </si>
  <si>
    <t>w/o query</t>
  </si>
  <si>
    <t>0.709005999999994 (0.4, -3.9)</t>
  </si>
  <si>
    <t>0.736702999999994 (0.4, -3.9)</t>
  </si>
  <si>
    <t>0.742282999999989 (0.4, -3.9)</t>
  </si>
  <si>
    <t>0.744080999999992 (0.4, -3.9)</t>
  </si>
  <si>
    <t>0.744253999999996 (0.4, -3.9)</t>
  </si>
  <si>
    <t>0.802539999999989 (0.4, -3.8)</t>
  </si>
  <si>
    <t>0.811567999999985 (0.4, -3.8)</t>
  </si>
  <si>
    <t xml:space="preserve"> 0.8185239999999849 (0.4, -3.8)</t>
  </si>
  <si>
    <t>0.814431999999984 (0.4, -3.8)</t>
  </si>
  <si>
    <t>0.845488999999983 (0.4, -3.4)</t>
  </si>
  <si>
    <t>0.857206999999977 (0.4, -3.4)</t>
  </si>
  <si>
    <t>0.860449999999978 (0.4, -3.4)</t>
  </si>
  <si>
    <t>0.861191999999975 (0.4, -3.4)</t>
  </si>
  <si>
    <t>0.875761999999974 (0.4, -3.1)</t>
  </si>
  <si>
    <t>0.891752999999966 (0.4, -3.1)</t>
  </si>
  <si>
    <t>0.895429999999963 (0.4, -3.0)</t>
  </si>
  <si>
    <t>0.896435999999964 (0.4, -3.0)</t>
  </si>
  <si>
    <t>0.896137999999966 (0.4, -2.7)</t>
  </si>
  <si>
    <t>0.91606299999996 (0.4, -2.7)</t>
  </si>
  <si>
    <t xml:space="preserve"> 0.920863999999957 (0.4, -2.7)</t>
  </si>
  <si>
    <t>0.921878999999957 (0.4, -2.7)</t>
  </si>
  <si>
    <t xml:space="preserve"> 0.9028059999999661 (0.4, -2.4)</t>
  </si>
  <si>
    <t>0.929996999999958 (0.4, -2.4)</t>
  </si>
  <si>
    <t>0.936551999999949 (0.4, -2.4)</t>
  </si>
  <si>
    <t>0.937870999999953 (0.4, -2.4)</t>
  </si>
  <si>
    <t>0.897790999999972 (0.4, -2.2)</t>
  </si>
  <si>
    <t>0.9349869999999554 (0.4, -2.0)</t>
  </si>
  <si>
    <t>0.9431849999999542 (0.4, -2.1)</t>
  </si>
  <si>
    <t>0.945311999999954 (0.4, -2.0)</t>
  </si>
  <si>
    <t>0.8777019999999754 (0.4, -1.7)</t>
  </si>
  <si>
    <t>0.928432999999958 (0.4, -1.7)</t>
  </si>
  <si>
    <t>0.940493999999955 (0.4, -1.6)</t>
  </si>
  <si>
    <t>0.943447999999952 (0.4, -1.6)</t>
  </si>
  <si>
    <t>0.929873999999953 (0.4, -1.1)</t>
  </si>
  <si>
    <t>0.468734 (0.4, -3.2)</t>
  </si>
  <si>
    <t>0.608026999999996 (0.4, -3.9)</t>
  </si>
  <si>
    <t>0.687895999999996 (0.4, -3.9)</t>
  </si>
  <si>
    <t>0.707085999999996 (0.4, -3.9)</t>
  </si>
  <si>
    <t>0.712223999999991 (0.4, -3.9)</t>
  </si>
  <si>
    <t>0.468736 (0.4, -2.2)</t>
  </si>
  <si>
    <t>0.632687999999999 (0.4, -3.9)</t>
  </si>
  <si>
    <t>0.726293999999995 (0.4, -3.9)</t>
  </si>
  <si>
    <t>0.748360999999992 (0.4, -3.9)</t>
  </si>
  <si>
    <t>0.754447999999992 (0.4, -3.9)</t>
  </si>
  <si>
    <t>0.657456999999996 (0.4, -3.9)</t>
  </si>
  <si>
    <t>0.762403999999993 (0.4, -3.8)</t>
  </si>
  <si>
    <t>0.787924999999988 (0.4, -3.9)</t>
  </si>
  <si>
    <t>0.794807999999988 (0.4, -3.9)</t>
  </si>
  <si>
    <t>0.670607999999996 (0.4, -3.6)</t>
  </si>
  <si>
    <t>0.789058999999991 (0.4, -3.6)</t>
  </si>
  <si>
    <t>0.817581999999984 (0.4, -3.6)</t>
  </si>
  <si>
    <t>0.824797999999985 (0.4, -3.6)</t>
  </si>
  <si>
    <t>0.680394999999997 (0.4, -3.4)</t>
  </si>
  <si>
    <t xml:space="preserve"> 0.8114569999999879 (0.4, -3.4)</t>
  </si>
  <si>
    <t>0.842657999999981 (0.4, -3.4)</t>
  </si>
  <si>
    <t>0.850234999999981 (0.4, -3.4)</t>
  </si>
  <si>
    <t>0.687610999999995 (0.4, -3.2)</t>
  </si>
  <si>
    <t>0.830815999999982 (0.4, -3.2)</t>
  </si>
  <si>
    <t xml:space="preserve"> 0.8643869999999766 (0.4, -3.2)</t>
  </si>
  <si>
    <t>0.872315999999972 (0.4, -3.2)</t>
  </si>
  <si>
    <t>0.691576999999995 (0.4, -3.0)</t>
  </si>
  <si>
    <t>0.846709999999983 (0.4, -3.0)</t>
  </si>
  <si>
    <t>0.88342099999997 (0.4, -3.0)</t>
  </si>
  <si>
    <t>0.8912099999999651 (0.4, -3.0)</t>
  </si>
  <si>
    <t>0.692066999999992 (0.4, -2.8)</t>
  </si>
  <si>
    <t>0.860960999999981 (0.4, -2.8)</t>
  </si>
  <si>
    <t>0.898573999999964 (0.4, -2.8)</t>
  </si>
  <si>
    <t>0.9069849999999635 (0.4, -2.8)</t>
  </si>
  <si>
    <t>0.691314999999995 (0.4, -2.7)</t>
  </si>
  <si>
    <t>0.871647999999971 (0.4, -2.6)</t>
  </si>
  <si>
    <t>0.910965999999958 (0.4, -2.6)</t>
  </si>
  <si>
    <t>0.919698999999959 (0.4, -2.7)</t>
  </si>
  <si>
    <t>0.688072999999999 (0.4, -2.5)</t>
  </si>
  <si>
    <t>0.880386999999976 (0.4, -2.5)</t>
  </si>
  <si>
    <t>0.921600999999963 (0.4, -2.5)</t>
  </si>
  <si>
    <t>0.93024899999996 (0.4, -2.5)</t>
  </si>
  <si>
    <t>0.885918999999972 (0.4, -2.4)</t>
  </si>
  <si>
    <t>0.929407999999958 (0.4, -2.3)</t>
  </si>
  <si>
    <t>0.938147999999953 (0.4, -2.3)</t>
  </si>
  <si>
    <t>0.88959199999997 (0.4, -2.2)</t>
  </si>
  <si>
    <t>0.935066999999953 (0.4, -2.2)</t>
  </si>
  <si>
    <t>0.944514999999951 (0.4, -2.2)</t>
  </si>
  <si>
    <t>0.890583999999974 (0.4, -2.1)</t>
  </si>
  <si>
    <t>0.938641999999955 (0.4, -2.1)</t>
  </si>
  <si>
    <t>0.948678999999945 (0.4, -2.1)</t>
  </si>
  <si>
    <t>0.888917999999974 (0.4, -1.9)</t>
  </si>
  <si>
    <t>0.941191999999951 (0.4, -1.9)</t>
  </si>
  <si>
    <t>0.951602999999947 (0.4, -1.9)</t>
  </si>
  <si>
    <t>0.941366999999951 (0.4, -1.7)</t>
  </si>
  <si>
    <t>0.952671999999943 (0.4, -1.7)</t>
  </si>
  <si>
    <t>0.939957999999953 (0.4, -1.5)</t>
  </si>
  <si>
    <t>0.952216999999946 (0.4, -1.5)</t>
  </si>
  <si>
    <t>0.950751999999946 (0.4, -1.3)</t>
  </si>
  <si>
    <t>1 - cos() (Dseg=2) / 0.4 / -1.6</t>
  </si>
  <si>
    <t>0.605623999999999 (0.4, -3.8)</t>
  </si>
  <si>
    <t>0.682131999999996 (0.4, -3.9)</t>
  </si>
  <si>
    <t>0.703720999999997 (0.4, -3.9)</t>
  </si>
  <si>
    <t>0.7102109999999946 (0.4, -3.9)</t>
  </si>
  <si>
    <t>0.6291610000000007 (0.4, -3.9)</t>
  </si>
  <si>
    <t>0.711967999999995 (0.4, -3.9)</t>
  </si>
  <si>
    <t>0.736163999999992 (0.4, -3.9)</t>
  </si>
  <si>
    <t>0.7431349999999949 (0.4, -3.9)</t>
  </si>
  <si>
    <t>0.640833999999998 (0.4, -3.8)</t>
  </si>
  <si>
    <t>0.735290999999996 (0.4, -3.9)</t>
  </si>
  <si>
    <t>0.763885999999992 (0.4, -3.9)</t>
  </si>
  <si>
    <t>0.771299999999992 (0.4, -3.9)</t>
  </si>
  <si>
    <t>0.641972999999998 (0.4, -2.6)</t>
  </si>
  <si>
    <t>0.74582699999999 (0.4, -3.8)</t>
  </si>
  <si>
    <t>0.779245999999989 (0.4, -3.8)</t>
  </si>
  <si>
    <t>0.78804899999999 (0.4, -3.8)</t>
  </si>
  <si>
    <t>0.646179999999999 (0.4, -1.7)</t>
  </si>
  <si>
    <t>0.746722999999993 (0.4, -3.5)</t>
  </si>
  <si>
    <t>0.785584999999992 (0.4, -3.5)</t>
  </si>
  <si>
    <t>0.79524599999999 (0.4, -3.5)</t>
  </si>
  <si>
    <t>0.646411 (0.4, -0.7)</t>
  </si>
  <si>
    <t xml:space="preserve"> 0.741804999999994 (0.4, -3.1)</t>
  </si>
  <si>
    <t>0.78586199999999 (0.4, -3.1)</t>
  </si>
  <si>
    <t>0.79737399999999 (0.4, -3.2)</t>
  </si>
  <si>
    <t>0.730642999999995 (0.4, -2.9)</t>
  </si>
  <si>
    <t>0.782830999999991 (0.4, -2.9)</t>
  </si>
  <si>
    <t>0.7962279999999908 (0.4, -2.9)</t>
  </si>
  <si>
    <t>0.789626999999992 (0.4, -2.7)</t>
  </si>
  <si>
    <t>1 +- cos() (Dseg=2) / 0.4 / -1.6</t>
  </si>
  <si>
    <t>0.614670999999998 (0.4, -3.9)</t>
  </si>
  <si>
    <t xml:space="preserve"> 0.6907649999999962 (0.4, -3.9)</t>
  </si>
  <si>
    <t>0.707398999999995 (0.4, -3.9)</t>
  </si>
  <si>
    <t>0.712067999999993 (0.4, -3.9)</t>
  </si>
  <si>
    <t>0.653010999999998 (0.4, -3.9)</t>
  </si>
  <si>
    <t xml:space="preserve">  0.729195999999996 (0.4, -3.9)</t>
  </si>
  <si>
    <t>0.747475999999991 (0.4, -3.9)</t>
  </si>
  <si>
    <t>0.752603999999992 (0.4, -3.9)</t>
  </si>
  <si>
    <t>0.682819999999995 (0.4, -3.8)</t>
  </si>
  <si>
    <t>0.768019999999988 (0.4, -3.9)</t>
  </si>
  <si>
    <t>0.789519999999987 (0.4, -3.9)</t>
  </si>
  <si>
    <t>0.795197999999987 (0.4, -3.9)</t>
  </si>
  <si>
    <t>0.703685999999997 (0.4, -3.6)</t>
  </si>
  <si>
    <t>0.799256999999991 (0.4, -3.8)</t>
  </si>
  <si>
    <t>0.823578999999986 (0.4, -3.9)</t>
  </si>
  <si>
    <t>0.8297419999999825 (0.4, -3.9)</t>
  </si>
  <si>
    <t xml:space="preserve"> 0.7212149999999953 (0.4, -3.3)</t>
  </si>
  <si>
    <t>0.8242109999999849 (0.4, -3.6)</t>
  </si>
  <si>
    <t>0.850360999999981 (0.4, -3.7)</t>
  </si>
  <si>
    <t>0.85638299999998 (0.4, -3.7)</t>
  </si>
  <si>
    <t>0.736106999999995 (0.4, -3.1)</t>
  </si>
  <si>
    <t>0.846053999999982 (0.4, -3.4)</t>
  </si>
  <si>
    <t>0.873092999999972 (0.4, -3.4)</t>
  </si>
  <si>
    <t>0.879231999999973 (0.4, -3.4)</t>
  </si>
  <si>
    <t>0.747947999999996 (0.4, -2.9)</t>
  </si>
  <si>
    <t xml:space="preserve"> 0.8655769999999736 (0.4, -3.2)</t>
  </si>
  <si>
    <t>0.893055999999967 (0.4, -3.2)</t>
  </si>
  <si>
    <t>0.899189999999962 (0.4, -3.2)</t>
  </si>
  <si>
    <t xml:space="preserve"> 0.7557289999999939 (0.4, -2.8)</t>
  </si>
  <si>
    <t>0.88207499999997 (0.4, -3.0)</t>
  </si>
  <si>
    <t>0.910108999999965 (0.4, -3.1)</t>
  </si>
  <si>
    <t>0.9160619999999626 (0.4, -3.1)</t>
  </si>
  <si>
    <t>0.761375999999994 (0.4, -2.6)</t>
  </si>
  <si>
    <t>0.896010999999964 (0.4, -2.9)</t>
  </si>
  <si>
    <t>0.924637999999957 (0.4, -2.9)</t>
  </si>
  <si>
    <t>0.930762999999958 (0.4, -2.9)</t>
  </si>
  <si>
    <t>0.764041999999996 (0.4, -2.5)</t>
  </si>
  <si>
    <t>0.907432999999962 (0.4, -2.7)</t>
  </si>
  <si>
    <t>0.9367419999999542 (0.4, -2.7)</t>
  </si>
  <si>
    <t>0.942651999999955 (0.4, -2.7)</t>
  </si>
  <si>
    <t>0.763225999999996 (0.4, -2.4)</t>
  </si>
  <si>
    <t>0.91624599999996 (0.4, -2.5)</t>
  </si>
  <si>
    <t>0.946530999999951 (0.4, -2.6)</t>
  </si>
  <si>
    <t>0.952675999999952 (0.4, -2.6)</t>
  </si>
  <si>
    <t>0.922975999999958 (0.4, -2.4)</t>
  </si>
  <si>
    <t>0.954349999999948 (0.4, -2.4)</t>
  </si>
  <si>
    <t>0.96028099999995 (0.4, -2.3)</t>
  </si>
  <si>
    <t>0.926682999999961 (0.4, -2.2)</t>
  </si>
  <si>
    <t>0.959950999999947 (0.4, -2.2)</t>
  </si>
  <si>
    <t>0.966011999999947 (0.4, -2.3)</t>
  </si>
  <si>
    <t>0.928198999999951 (0.4, -2.1)</t>
  </si>
  <si>
    <t>0.963948999999943 (0.4, -2.1)</t>
  </si>
  <si>
    <t>0.970497999999944 (0.4, -2.1)</t>
  </si>
  <si>
    <t>0.927403999999958 (0.4, -1.9)</t>
  </si>
  <si>
    <t>0.96611099999994 (0.4, -1.9)</t>
  </si>
  <si>
    <t>0.973248999999941 (0.4, -1.9)</t>
  </si>
  <si>
    <t>0.966279999999937 (0.4, -1.7)</t>
  </si>
  <si>
    <t>0.974179999999941 (0.4, -1.7)</t>
  </si>
  <si>
    <t xml:space="preserve"> 0.964914999999937 (0.4, -1.5)</t>
  </si>
  <si>
    <t>0.973757999999934 (0.4, -1.5)</t>
  </si>
  <si>
    <t>0000'</t>
  </si>
  <si>
    <t>0001'</t>
  </si>
  <si>
    <t>0011'</t>
  </si>
  <si>
    <t>0111'</t>
  </si>
  <si>
    <t>1111'</t>
  </si>
  <si>
    <t>1110'</t>
  </si>
  <si>
    <t>1100'</t>
  </si>
  <si>
    <t>1000'</t>
  </si>
  <si>
    <t>X</t>
  </si>
  <si>
    <t>00'</t>
  </si>
  <si>
    <t>11'</t>
  </si>
  <si>
    <t>01'</t>
  </si>
  <si>
    <t>00X'</t>
  </si>
  <si>
    <t>11X'</t>
  </si>
  <si>
    <t>X01'</t>
  </si>
  <si>
    <t>000'</t>
  </si>
  <si>
    <t>111'</t>
  </si>
  <si>
    <t>01X'</t>
  </si>
  <si>
    <t xml:space="preserve">(Dseg=8) / </t>
  </si>
  <si>
    <t xml:space="preserve">(Dseg=7) / </t>
  </si>
  <si>
    <t xml:space="preserve">(Dseg=6) / </t>
  </si>
  <si>
    <t>(Dseg=5) / -2.2</t>
  </si>
  <si>
    <t>(Dseg=4) / -2.2</t>
  </si>
  <si>
    <t>(Dseg=3) / -2.2</t>
  </si>
  <si>
    <t>(Dseg=2) / -2.3</t>
  </si>
  <si>
    <t>Correlation</t>
  </si>
  <si>
    <t>1 - cos() (Dseg=2) / -1.5</t>
  </si>
  <si>
    <t>1 + cos() (Dseg=2) / -0.2</t>
  </si>
  <si>
    <t>1 +- cos() (Dseg=2) / -0.9</t>
  </si>
  <si>
    <t>1 - cos() (Dseg=2) / 0.5 / -1.6</t>
  </si>
  <si>
    <t>1 - cos() (Dseg=2) / 0.6 / -1.4</t>
  </si>
  <si>
    <t>1 - cos() (Dseg=2) / 0.7 / -1.2</t>
  </si>
  <si>
    <t>1 + cos() (Dseg=2) / 0.5 / 0.8</t>
  </si>
  <si>
    <t>1 + cos() (Dseg=2) / 0.6 / 0.5</t>
  </si>
  <si>
    <t>1 + cos() (Dseg=2) / 0.7 / 0.4</t>
  </si>
  <si>
    <t>1 + cos() (Dseg=2) / 0.8 / 0.2</t>
  </si>
  <si>
    <t>1 + cos() (Dseg=2) / 0.9 / 0.1</t>
  </si>
  <si>
    <t>1 + cos() (Dseg=2) / 1.0 / 0.1</t>
  </si>
  <si>
    <t>1 + cos() (Dseg=2) / 1.1 / 0</t>
  </si>
  <si>
    <t>1 +- cos() (Dseg=2) / 0.5 / 0.9</t>
  </si>
  <si>
    <t>1 +- cos() (Dseg=2) / 0.6 / 0.5</t>
  </si>
  <si>
    <t>1 +- cos() (Dseg=2) / 0.7 / 0.2</t>
  </si>
  <si>
    <t>1 +- cos() (Dseg=2) / 0.8 / 0.1</t>
  </si>
  <si>
    <t>1 - cos() (Dseg=2) / 0.3 / -1.4</t>
  </si>
  <si>
    <t>1 +- cos() (Dseg=2) / 0.3 / -0.7</t>
  </si>
  <si>
    <t>1 +- cos() (Dseg=2) / 0.4 / -1.2</t>
  </si>
  <si>
    <t>1 +- cos() (Dseg=2) / 0.5 / -1.3</t>
  </si>
  <si>
    <t>0.4 / -3</t>
  </si>
  <si>
    <t>0.4 / -1.8</t>
  </si>
  <si>
    <t>0.4 / -1.7</t>
  </si>
  <si>
    <t>0.4 / -1.6</t>
  </si>
  <si>
    <t>1 - cos() (Dseg=2) / 0.3 / -2.2</t>
  </si>
  <si>
    <t>1 - cos() (Dseg=2) / 0.3 / -1.9</t>
  </si>
  <si>
    <t>1 - cos() (Dseg=2) / 0.5 / -1.4</t>
  </si>
  <si>
    <t>1 + cos() (Dseg=2) / 0.4 / -1.5</t>
  </si>
  <si>
    <t>1 + cos() (Dseg=2) / 0.6 / -1.2</t>
  </si>
  <si>
    <t>1 +- cos() (Dseg=2) / 0.5 / -1.4</t>
  </si>
  <si>
    <t>1 +- cos() (Dseg=2) / 0.6 / -1.3</t>
  </si>
  <si>
    <t>1 +- cos() (Dseg=2) / 0.7 / -1.2</t>
  </si>
  <si>
    <t>0.766735999999986 (0.4, -4.5)</t>
  </si>
  <si>
    <t>0.771546999999987 (0.4, -4.5)</t>
  </si>
  <si>
    <t>0.771736999999986 (0.4, -4.5)</t>
  </si>
  <si>
    <t>0.813743999999984 (0.4, -4.0)</t>
  </si>
  <si>
    <t>0.820028999999984 (0.4, -4.0)</t>
  </si>
  <si>
    <t>0.820291999999982 (0.4, -4.0)</t>
  </si>
  <si>
    <t>0.858166999999977 (0.4, -3.6)</t>
  </si>
  <si>
    <t>0.86000099999998 (0.4, -3.5)</t>
  </si>
  <si>
    <t>0.890722999999971 (0.4, -3.2)</t>
  </si>
  <si>
    <t>0.892958999999969 (0.4, -3.2)</t>
  </si>
  <si>
    <t>0.916177999999967 (0.4, -2.9)</t>
  </si>
  <si>
    <t>0.918901999999966 (0.4, -2.8)</t>
  </si>
  <si>
    <t>0.934978999999961 (0.4, -2.5)</t>
  </si>
  <si>
    <t>0.938445999999959 (0.4, -2.5)</t>
  </si>
  <si>
    <t>0.947629999999954 (0.4, -2.2)</t>
  </si>
  <si>
    <t>0.951522999999952 (0.4, -2.2)</t>
  </si>
  <si>
    <t>0.954412999999951 (0.4, -1.9)</t>
  </si>
  <si>
    <t xml:space="preserve"> 0.959121999999948 (0.4, -1.9)</t>
  </si>
  <si>
    <t>0.961259999999943 (0.4, -1.5)</t>
  </si>
  <si>
    <t>0.957440999999948 (0.4, -1.0)</t>
  </si>
  <si>
    <t>0.946572999999951 (0.4, -0.1)</t>
  </si>
  <si>
    <t>0.340809999999998 (1.0, -5.1)</t>
  </si>
  <si>
    <t>0.554427999999999 (1.0, -4.2)</t>
  </si>
  <si>
    <t>0.686377999999994 (1.0, -3.5)</t>
  </si>
  <si>
    <t>0.735275999999989 (1.0, -3.4)</t>
  </si>
  <si>
    <t>0.748573999999991 (1.0, -3.5)</t>
  </si>
  <si>
    <t>0.752424999999992 (1.0, -3.5)</t>
  </si>
  <si>
    <t>0.347249999999999 (1.0, -4.4)</t>
  </si>
  <si>
    <t>0.554160999999998 (1.0, -3.5)</t>
  </si>
  <si>
    <t>0.706094999999994 (1.0, -2.9)</t>
  </si>
  <si>
    <t>0.7620849999999861 (1.0, -2.8)</t>
  </si>
  <si>
    <t>0.7766669999999891 (1.0, -2.8)</t>
  </si>
  <si>
    <t>0.7808409999999886 (1.0, -2.8)</t>
  </si>
  <si>
    <t>0.352010999999997 (1.0, -3.8)</t>
  </si>
  <si>
    <t>0.548918999999998 (1.0, -3.0)</t>
  </si>
  <si>
    <t>0.723258999999997 (1.0, -2.4)</t>
  </si>
  <si>
    <t>0.787623999999983 (1.0, -2.4)</t>
  </si>
  <si>
    <t xml:space="preserve"> 0.8038819999999848 (1.0, -2.4)</t>
  </si>
  <si>
    <t>0.807832999999985 (1.0, -2.4)</t>
  </si>
  <si>
    <t>0.356066999999999 (1.0, -3.5)</t>
  </si>
  <si>
    <t>0.540779 (1.0, -2.7)</t>
  </si>
  <si>
    <t>0.738286999999995 (1.0, -2.0)</t>
  </si>
  <si>
    <t>0.810587999999991 (1.0, -2.1)</t>
  </si>
  <si>
    <t>0.828383999999981 (1.0, -2.1)</t>
  </si>
  <si>
    <t>0.832918999999981 (1.0, -2.1)</t>
  </si>
  <si>
    <t>0.35946900000000037 (1.0, -3.3)</t>
  </si>
  <si>
    <t>0.529906000000001 (1.0, -2.3)</t>
  </si>
  <si>
    <t>0.7511949999999952 (1.0, -1.8)</t>
  </si>
  <si>
    <t>0.831414999999981 (1.0, -1.8)</t>
  </si>
  <si>
    <t>0.850629999999984 (1.0, -1.8)</t>
  </si>
  <si>
    <t>0.855358999999982 (1.0, -1.8)</t>
  </si>
  <si>
    <t>0.3620090000000006 (1.0, -3.1)</t>
  </si>
  <si>
    <t>0.761571999999994 (1.0, -1.5)</t>
  </si>
  <si>
    <t>0.849751999999981 (1.0, -1.6)</t>
  </si>
  <si>
    <t>0.870736999999975 (1.0, -1.6)</t>
  </si>
  <si>
    <t>0.8754349999999785 (1.0, -1.6)</t>
  </si>
  <si>
    <t>0.364214000000001 (1.0, -2.9)</t>
  </si>
  <si>
    <t>0.770253999999993 (1.0, -1.4)</t>
  </si>
  <si>
    <t>0.865983999999978 (1.0, -1.4)</t>
  </si>
  <si>
    <t>0.888168999999973 (1.0, -1.4)</t>
  </si>
  <si>
    <t>0.893230999999972 (1.0, -1.4)</t>
  </si>
  <si>
    <t>0.36627300000000024 (1.0, -2.8)</t>
  </si>
  <si>
    <t>0.775507999999993 (1.0, -1.2)</t>
  </si>
  <si>
    <t>0.879775999999976 (1.0, -1.2)</t>
  </si>
  <si>
    <t>0.902597999999971 (1.0, -1.2)</t>
  </si>
  <si>
    <t>0.907908999999969 (1.0, -1.2)</t>
  </si>
  <si>
    <t>0.367886000000001 (1.0, -2.6)</t>
  </si>
  <si>
    <t>0.778193999999992 (1.0, -1.1)</t>
  </si>
  <si>
    <t>0.891050999999978 (1.0, -1.1)</t>
  </si>
  <si>
    <t>0.9149739999999671 (1.0, -1.1)</t>
  </si>
  <si>
    <t>0.920656999999964 (1.0, -1.1)</t>
  </si>
  <si>
    <t>0.368117 (1.0, -2.5)</t>
  </si>
  <si>
    <t>0.777775999999992 (1.0, -1.0)</t>
  </si>
  <si>
    <t>0.900512999999973 (1.0, -0.9)</t>
  </si>
  <si>
    <t>0.925487999999965 (1.0, -0.9)</t>
  </si>
  <si>
    <t>0.931242999999958 (1.0, -0.9)</t>
  </si>
  <si>
    <t>0.36888500000000074 (1.0, -2.4)</t>
  </si>
  <si>
    <t>0.775542999999992 (1.0, -0.8)</t>
  </si>
  <si>
    <t>0.907620999999971 (1.0, -0.8)</t>
  </si>
  <si>
    <t>0.933875999999961 (1.0, -0.8)</t>
  </si>
  <si>
    <t>0.939603999999957 (1.0, -0.8)</t>
  </si>
  <si>
    <t>0.36877100000000046 (1.0, -2.3)</t>
  </si>
  <si>
    <t>0.912903999999971 (1.0, -0.6)</t>
  </si>
  <si>
    <t>0.940339999999957 (1.0, -0.6)</t>
  </si>
  <si>
    <t>0.946175999999956 (1.0, -0.6)</t>
  </si>
  <si>
    <t>0.3687290000000003 (1.0, -2.2)</t>
  </si>
  <si>
    <t>0.916610999999968 (1.0, -0.5)</t>
  </si>
  <si>
    <t>0.945142999999956 (1.0, -0.5)</t>
  </si>
  <si>
    <t>0.951216999999952 (1.0, -0.5)</t>
  </si>
  <si>
    <t>0.917897999999965 (1.0, -0.4)</t>
  </si>
  <si>
    <t>0.948292999999949 (1.0, -0.3)</t>
  </si>
  <si>
    <t>0.954634999999951 (1.0, -0.3)</t>
  </si>
  <si>
    <t>0.917214999999967 (1.0, -0.2)</t>
  </si>
  <si>
    <t>0.949724999999951 (1.0, -0.1)</t>
  </si>
  <si>
    <t>0.956473999999951 (1.0, -0.1)</t>
  </si>
  <si>
    <t>0.949812999999953 (1.0, 0.1)</t>
  </si>
  <si>
    <t>0.957061999999951 (1.0, 0)</t>
  </si>
  <si>
    <t>0.948073999999957 (1.0, 0.3)</t>
  </si>
  <si>
    <t>0.9561539999999491 (1.0, 0.3)</t>
  </si>
  <si>
    <t>0.567231999999995 (1.0, -4.6)</t>
  </si>
  <si>
    <t>0.691550999999997 (1.0, -3.7)</t>
  </si>
  <si>
    <t>0.73804599999999 (1.0, -3.8)</t>
  </si>
  <si>
    <t>0.751643999999992 (1.0, -3.9)</t>
  </si>
  <si>
    <t>0.755350999999992 (1.0, -4.0)</t>
  </si>
  <si>
    <t>0.579348999999995 (1.0, -3.7)</t>
  </si>
  <si>
    <t>0.717244999999997 (1.0, -3.0)</t>
  </si>
  <si>
    <t>0.767087999999992 (1.0, -3.2)</t>
  </si>
  <si>
    <t>0.781135999999987 (1.0, -3.2)</t>
  </si>
  <si>
    <t>0.784751999999985 (1.0, -3.2)</t>
  </si>
  <si>
    <t>0.586915999999996 (1.0, -3.2)</t>
  </si>
  <si>
    <t>0.740681999999994 (1.0, -2.5)</t>
  </si>
  <si>
    <t>0.794189999999988 (1.0, -2.7)</t>
  </si>
  <si>
    <t>0.808310999999986 (1.0, -2.8)</t>
  </si>
  <si>
    <t>0.812092999999982 (1.0, -2.8)</t>
  </si>
  <si>
    <t>0.590560999999996 (1.0, -3.1)</t>
  </si>
  <si>
    <t>0.762209999999987 (1.0, -2.1)</t>
  </si>
  <si>
    <t>0.81878199999999 (1.0, -2.4)</t>
  </si>
  <si>
    <t>0.833252999999986 (1.0, -2.4)</t>
  </si>
  <si>
    <t>0.836899999999982 (1.0, -2.4)</t>
  </si>
  <si>
    <t>0.591923999999997 (1.0, -3.2)</t>
  </si>
  <si>
    <t>0.78198299999999 (1.0, -1.9)</t>
  </si>
  <si>
    <t>0.841214999999976 (1.0, -2.1)</t>
  </si>
  <si>
    <t>0.856133999999978 (1.0, -2.2)</t>
  </si>
  <si>
    <t>0.859808999999981 (1.0, -2.2)</t>
  </si>
  <si>
    <t>0.591424999999996 (1.0, -3.1)</t>
  </si>
  <si>
    <t>0.799875999999989 (1.0, -1.7)</t>
  </si>
  <si>
    <t>0.862013999999976 (1.0, -1.9)</t>
  </si>
  <si>
    <t>0.876971999999974 (1.0, -1.9)</t>
  </si>
  <si>
    <t>0.880571999999975 (1.0, -1.9)</t>
  </si>
  <si>
    <t>0.8160909999999886 (1.0, -1.4)</t>
  </si>
  <si>
    <t>0.880634999999975 (1.0, -1.7)</t>
  </si>
  <si>
    <t>0.895582999999972 (1.0, -1.7)</t>
  </si>
  <si>
    <t>0.89934899999997 (1.0, -1.7)</t>
  </si>
  <si>
    <t>0.829465999999986 (1.0, -1.2)</t>
  </si>
  <si>
    <t>0.896898999999971 (1.0, -1.5)</t>
  </si>
  <si>
    <t>0.912255999999972 (1.0, -1.5)</t>
  </si>
  <si>
    <t>0.915826999999969 (1.0, -1.5)</t>
  </si>
  <si>
    <t>0.840523999999984 (1.0, -1.0)</t>
  </si>
  <si>
    <t>0.91150799999997 (1.0, -1.4)</t>
  </si>
  <si>
    <t>0.926512999999964 (1.0, -1.3)</t>
  </si>
  <si>
    <t>0.930208999999962 (1.0, -1.4)</t>
  </si>
  <si>
    <t xml:space="preserve"> 0.8495449999999836 (1.0, -1.0)</t>
  </si>
  <si>
    <t xml:space="preserve"> 0.9240779999999642 (1.0, -1.2)</t>
  </si>
  <si>
    <t>0.942735999999959 (1.0, -1.2)</t>
  </si>
  <si>
    <t>0.855555999999988 (1.0, -0.8)</t>
  </si>
  <si>
    <t>0.934878999999961 (1.0, -1.0)</t>
  </si>
  <si>
    <t>0.953397999999957 (1.0, -1.0)</t>
  </si>
  <si>
    <t>0.859183999999987 (1.0, -0.7)</t>
  </si>
  <si>
    <t>0.944024999999951 (1.0, -0.9)</t>
  </si>
  <si>
    <t>0.962130999999953 (1.0, -0.9)</t>
  </si>
  <si>
    <t>0.8602299999999794 (1.0, -0.6)</t>
  </si>
  <si>
    <t>0.951162999999953 (1.0, -0.7)</t>
  </si>
  <si>
    <t>0.969487999999949 (1.0, -0.7)</t>
  </si>
  <si>
    <t>0.85835999999999 (1.0, -0.5)</t>
  </si>
  <si>
    <t>0.956890999999945 (1.0, -0.6)</t>
  </si>
  <si>
    <t>0.975310999999948 (1.0, -0.6)</t>
  </si>
  <si>
    <t>0.960756999999944 (1.0, -0.4)</t>
  </si>
  <si>
    <t>0.979797999999949 (1.0, -0.4)</t>
  </si>
  <si>
    <t>0.962993999999948 (1.0, -0.2)</t>
  </si>
  <si>
    <t>0.980032999999942 (1.0, -0.2)</t>
  </si>
  <si>
    <t>0.98325199999995 (1.0, -0.2)</t>
  </si>
  <si>
    <t>0.963879999999942 (1.0, -0.1)</t>
  </si>
  <si>
    <t>0.982079999999938 (1.0, -0.1)</t>
  </si>
  <si>
    <t>0.9855209999999485 (1.0, 0)</t>
  </si>
  <si>
    <t>0.962416999999941 (1.0, 0.1)</t>
  </si>
  <si>
    <t>0.983029999999937 (1.0, 0.1)</t>
  </si>
  <si>
    <t>0.986683999999946 (1.0, 0.2)</t>
  </si>
  <si>
    <t>0.982625999999937 (1.0, 0.4)</t>
  </si>
  <si>
    <t>0.98666799999994 (1.0, 0.4)</t>
  </si>
  <si>
    <t>1 - cos() (Dseg=2) / -1.2</t>
  </si>
  <si>
    <t>1 +- cos() (Dseg=2) / -0.6</t>
  </si>
  <si>
    <t>1 - cos() (Dseg=2) / 0.5 / -1.3</t>
  </si>
  <si>
    <t>1 - cos() (Dseg=2) / 0.6 / -1.1</t>
  </si>
  <si>
    <t>1 - cos() (Dseg=2) / 0.7 / -1</t>
  </si>
  <si>
    <t>1 - cos() (Dseg=2) / 0.8 / -0.9</t>
  </si>
  <si>
    <t>1 - cos() (Dseg=2) / 0.9 / -0.8</t>
  </si>
  <si>
    <t>1 + cos() (Dseg=2) / 0.5 / 0.5</t>
  </si>
  <si>
    <t>1 + cos() (Dseg=2) / 0.6 / 0.3</t>
  </si>
  <si>
    <t>1 + cos() (Dseg=2) / 0.7 / 0.2</t>
  </si>
  <si>
    <t>1 + cos() (Dseg=2) / 0.8 / 0.1</t>
  </si>
  <si>
    <t>1 + cos() (Dseg=2) / 0.9 / 0.0</t>
  </si>
  <si>
    <t>1 + cos() (Dseg=2) / 1.0 / 0.0</t>
  </si>
  <si>
    <t>1 + cos() (Dseg=2) / 1.1 / -0.1</t>
  </si>
  <si>
    <t>1 +- cos() (Dseg=2) / 0.7 / 0.3</t>
  </si>
  <si>
    <t>1 - cos() (Dseg=2) / 0.7 / -1.0</t>
  </si>
  <si>
    <t>1 - cos() (Dseg=2) / 0.3 / -1.1</t>
  </si>
  <si>
    <t>1 - cos() (Dseg=2) / 0.35 / -1.3</t>
  </si>
  <si>
    <t>1 - cos() (Dseg=2) / 0.4 / -1.4</t>
  </si>
  <si>
    <t>1 - cos() (Dseg=2) / 0.5 / -1.5</t>
  </si>
  <si>
    <t>1 +- cos() (Dseg=2) / 0.4 / -1.0</t>
  </si>
  <si>
    <t>1 +- cos() (Dseg=2) / 0.5 / -1.2</t>
  </si>
  <si>
    <t>1 +- cos() (Dseg=2) / 0.6 / -1.2</t>
  </si>
  <si>
    <t>0.35 / -2.6</t>
  </si>
  <si>
    <t>0.35 / -1.8</t>
  </si>
  <si>
    <t>0.35 / -1.4</t>
  </si>
  <si>
    <t>0.35 / -1.3</t>
  </si>
  <si>
    <t>1 - cos() (Dseg=2) / 0.3 / -1.5</t>
  </si>
  <si>
    <t>1 - cos() (Dseg=2) / 0.4 / -1.3</t>
  </si>
  <si>
    <t>1 + cos() (Dseg=2) / 0.5 / -1.3</t>
  </si>
  <si>
    <t>1 +- cos() (Dseg=2) / 0.8 / -1.1</t>
  </si>
  <si>
    <t>0.793108999999988 (0.4, -4.8)</t>
  </si>
  <si>
    <t>0.797387999999986 (0.4, -4.8)</t>
  </si>
  <si>
    <t>0.831128999999985 (0.4, -4.1)</t>
  </si>
  <si>
    <t>0.836097999999986 (0.4, -4.1)</t>
  </si>
  <si>
    <t>0.8700449999999781 (0.4, -3.6)</t>
  </si>
  <si>
    <t>0.899192999999972 (0.4, -3.2)</t>
  </si>
  <si>
    <t>0.958207999999953 (1.0, -0.1)</t>
  </si>
  <si>
    <t>0.9590079999999538 (1.0, 0.1)</t>
  </si>
  <si>
    <t>0.958239999999957 (1.0, 0.2)</t>
  </si>
  <si>
    <t>0.986329999999947 (1.0, -0.2)</t>
  </si>
  <si>
    <t>0.975563999999939 （1.0, -0.1)</t>
  </si>
  <si>
    <t>0.98905199999995 (1.0, -0.1)</t>
  </si>
  <si>
    <t>0.883996999999978 (1.0, -0.3)</t>
  </si>
  <si>
    <t>0.976826999999938 (1.0, 0.1)</t>
  </si>
  <si>
    <t>0.988688999999948 (1.0, 0.1)</t>
  </si>
  <si>
    <t>0.990834999999951 (1.0, 0.2)</t>
  </si>
  <si>
    <t>0.9762969999999399 (1.0, 0.2)</t>
  </si>
  <si>
    <t>0.989521999999947 (1.0, 0.3)</t>
  </si>
  <si>
    <t>0.991846999999952 (1.0, 0.3)</t>
  </si>
  <si>
    <t>0.989369999999942 (1.0, 0.4)</t>
  </si>
  <si>
    <t>0.992005999999949 (1.0, 0.6)</t>
  </si>
  <si>
    <t>0.991217999999946 (1.0, 0.8)</t>
  </si>
  <si>
    <t>(Dseg=3) / -1.4</t>
  </si>
  <si>
    <t>(Dseg=2) / -1.5</t>
  </si>
  <si>
    <t>(Dseg=1) / -3.2</t>
  </si>
  <si>
    <t>1 + cos() (Dseg=2) / -0.3</t>
  </si>
  <si>
    <t>1 +- cos() (Dseg=2) / -0.5</t>
  </si>
  <si>
    <t>1 - cos() (Dseg=2) / 0.6 / -0.9</t>
  </si>
  <si>
    <t>1 - cos() (Dseg=2) / 0.7 / -0.8</t>
  </si>
  <si>
    <t>1 - cos() (Dseg=2) / 0.8 / -0.7</t>
  </si>
  <si>
    <t>1 - cos() (Dseg=2) / 0.9 / -0.6</t>
  </si>
  <si>
    <t>1 + cos() (Dseg=2) / 0.7 / 0</t>
  </si>
  <si>
    <t>1 + cos() (Dseg=2) / 0.8 / -0.1</t>
  </si>
  <si>
    <t>1 + cos() (Dseg=2) / 0.9 / -0.1</t>
  </si>
  <si>
    <t>1 + cos() (Dseg=2) / 1.0 / -0.1</t>
  </si>
  <si>
    <t>1 +- cos() (Dseg=2) / 0.9 / 0.0</t>
  </si>
  <si>
    <t>1 - cos() (Dseg=2) / 0.2 / 0.6</t>
  </si>
  <si>
    <t>1 - cos() (Dseg=2) / 0.3 / -0.9</t>
  </si>
  <si>
    <t>1 +- cos() (Dseg=2) / 0.4 / -0.9</t>
  </si>
  <si>
    <t>1 +- cos() (Dseg=2) / 0.45 / -1.0</t>
  </si>
  <si>
    <t>1 +- cos() (Dseg=2) / 0.5 / -1.1</t>
  </si>
  <si>
    <t>0.1 / -2.5</t>
  </si>
  <si>
    <t>0.2 / -2.6</t>
  </si>
  <si>
    <t>0.3 / -5.9</t>
  </si>
  <si>
    <t>0.3 / -4</t>
  </si>
  <si>
    <t>0.3 / -3.1</t>
  </si>
  <si>
    <t>0.3 / -1.9</t>
  </si>
  <si>
    <t>0.3 / -1.0</t>
  </si>
  <si>
    <t>0.3 / -0.9</t>
  </si>
  <si>
    <t>1 - cos() (Dseg=2) / 0.3 / -0.4</t>
  </si>
  <si>
    <t>1 - cos() (Dseg=2) / 0.4 / -1</t>
  </si>
  <si>
    <t>1 - cos() (Dseg=2) / 0.5 / -1.2</t>
  </si>
  <si>
    <t>1 + cos() (Dseg=2) / 0.4 / -1.3</t>
  </si>
  <si>
    <t>0.8276229999999867 (0.4, -4.9)</t>
  </si>
  <si>
    <t>0.859383999999981 (0.4, -4.1)</t>
  </si>
  <si>
    <t>0.887456999999973 (0.4, -3.6)</t>
  </si>
  <si>
    <t>0.911627999999971 (0.4, -3.2)</t>
  </si>
  <si>
    <t>0.851974999999981 (1.0, -1.0)</t>
  </si>
  <si>
    <t>0.853065999999984 (1.0, -0.9)</t>
  </si>
  <si>
    <t>0.852568999999978 (1.0, -0.8)</t>
  </si>
  <si>
    <t>0.849907999999979 (1.0, -0.6)</t>
  </si>
  <si>
    <t>0.845885999999981 (1.0, -0.6)</t>
  </si>
  <si>
    <t>0.83924299999998 (1.0, -0.5)</t>
  </si>
  <si>
    <t>0.936743999999967 (1.0, -0.3)</t>
  </si>
  <si>
    <t>0.830892999999978 (1.0, -0.4)</t>
  </si>
  <si>
    <t>0.937166999999966 (1.0, -0.1)</t>
  </si>
  <si>
    <t>0.956539999999957 (1.0, -0,1)</t>
  </si>
  <si>
    <t>0.9606529999999566 (1.0, -0.1)</t>
  </si>
  <si>
    <t>0.936303999999968 (1.0, 0)</t>
  </si>
  <si>
    <t>0.95693899999996 (1.0, 0.1)</t>
  </si>
  <si>
    <t>0.961264999999957 (1.0, 0.1)</t>
  </si>
  <si>
    <t>0.955814999999961 (1.0, 0.3)</t>
  </si>
  <si>
    <t>0.960415999999958 (1.0, 0.3)</t>
  </si>
  <si>
    <t>0.928018999999969 (1.0, -0.4)</t>
  </si>
  <si>
    <t>0.92594299999997 (1.0, -0.4)</t>
  </si>
  <si>
    <t>0.921785999999968 (1.0, -0.3)</t>
  </si>
  <si>
    <t>0.983599999999947 (1.0, 0.1)</t>
  </si>
  <si>
    <t>0.992482999999962 (1.0, 0.2)</t>
  </si>
  <si>
    <t>0.915663999999972 (1.0, -0.3)</t>
  </si>
  <si>
    <t>0.984153999999947 (1.0, 0.3)</t>
  </si>
  <si>
    <t>0.992287999999958 (1.0, 0.3)</t>
  </si>
  <si>
    <t>0.993529999999964 (1.0, 0.4)</t>
  </si>
  <si>
    <t>0.983791999999947 (1.0, 0,4)</t>
  </si>
  <si>
    <t>0.992710999999962 (1.0, 0.5)</t>
  </si>
  <si>
    <t>0.994154999999964 (1.0, 0.5)</t>
  </si>
  <si>
    <t>0.992574999999959 (1.0, 0.8)</t>
  </si>
  <si>
    <t>0.994214999999964 (1.0, 0.9)</t>
  </si>
  <si>
    <t>0.99357899999996 (1.0, 1.1)</t>
  </si>
  <si>
    <t>0.890903999999979 (1.0, -0.6)</t>
  </si>
  <si>
    <t>0.909605999999971 (1.0, -0.7)</t>
  </si>
  <si>
    <t>0.91377199999997 (1.0, -0.7)</t>
  </si>
  <si>
    <t>0.89183499999998 (1.0, -0.5)</t>
  </si>
  <si>
    <t>0.911744999999974 (1.0, -0.5)</t>
  </si>
  <si>
    <t>0.915849999999971 (1.0, -0.5)</t>
  </si>
  <si>
    <t>0.911579999999972 (1.0, -0.4)</t>
  </si>
  <si>
    <t>0.916315999999971 (1.0, -0.4)</t>
  </si>
  <si>
    <t>0.914648999999973 (1.0, -0.2)</t>
  </si>
  <si>
    <t>NY-Times</t>
  </si>
  <si>
    <t>LSH is worser than Hamming Distance</t>
  </si>
  <si>
    <t>1 - cos() (Dseg=2) / -0.8</t>
  </si>
  <si>
    <t>1 + cos() (Dseg=2) / -0.5</t>
  </si>
  <si>
    <t>1 +- cos() (Dseg=2) / -0.4</t>
  </si>
  <si>
    <t>1 - cos() (Dseg=2) / 0.5 / -0.8</t>
  </si>
  <si>
    <t>1 - cos() (Dseg=2) / 0.6 / -0.7</t>
  </si>
  <si>
    <t>1 - cos() (Dseg=2) / 0.7 / -0.6</t>
  </si>
  <si>
    <t>1 - cos() (Dseg=2) / 0.8 / -0.6</t>
  </si>
  <si>
    <t>1 - cos() (Dseg=2) / 0.9 / -0.5</t>
  </si>
  <si>
    <t>1 - cos() (Dseg=2) / 1.0 / -0.5</t>
  </si>
  <si>
    <t>1 + cos() (Dseg=2) / 0.5 / -1.5</t>
  </si>
  <si>
    <t>1 + cos() (Dseg=2) / 0.6 / -0.1</t>
  </si>
  <si>
    <t>1 + cos() (Dseg=2) / 0.7 / -0.2</t>
  </si>
  <si>
    <t>1 + cos() (Dseg=2) / 0.8 / -0.2</t>
  </si>
  <si>
    <t>1 + cos() (Dseg=2) / 0.9 / -0.2</t>
  </si>
  <si>
    <t>1 + cos() (Dseg=2) / 1.0 / -0.2</t>
  </si>
  <si>
    <t>1 + cos() (Dseg=2) / 1.1 / -0.2</t>
  </si>
  <si>
    <t>1 +- cos() (Dseg=2) / 0.6 / 0.6</t>
  </si>
  <si>
    <t>1 +- cos() (Dseg=2) / 1.0 / 0.1</t>
  </si>
  <si>
    <t>1 - cos() (Dseg=2) / 0.2 / 1</t>
  </si>
  <si>
    <t>1 - cos() (Dseg=2) / 0.3 / -0.7</t>
  </si>
  <si>
    <t>1 - cos() (Dseg=2) / 0.4 / -0.8</t>
  </si>
  <si>
    <t>1 +- cos() (Dseg=2) / 0.4 / -0.7</t>
  </si>
  <si>
    <t>1 +- cos() (Dseg=2) / 0.45 / -0.9</t>
  </si>
  <si>
    <t>1 +- cos() (Dseg=2) / 0.5 / -1</t>
  </si>
  <si>
    <t>1 +- cos() (Dseg=2) / 0.6 / -1.1</t>
  </si>
  <si>
    <t>0.3 / -6.6</t>
  </si>
  <si>
    <t>0.3 / -3.3</t>
  </si>
  <si>
    <t>0.3 / -1.7</t>
  </si>
  <si>
    <t>0.3 / -0.8</t>
  </si>
  <si>
    <t>0.3 / -0.7</t>
  </si>
  <si>
    <t>1 - cos() (Dseg=2) / 0.3 / -0.2</t>
  </si>
  <si>
    <t>1 - cos() (Dseg=2) / 0.4 / -0.9</t>
  </si>
  <si>
    <t>1 - cos() (Dseg=2) / 0.5/ -1.1</t>
  </si>
  <si>
    <t>1 + cos() (Dseg=2) / 0.4 / -1.2</t>
  </si>
  <si>
    <t>1 + cos() (Dseg=2) / 0.5 / -1.2</t>
  </si>
  <si>
    <t>1 + cos() (Dseg=2) / 0.6 / -1.1</t>
  </si>
  <si>
    <t>1 +- cos() (Dseg=2) / 0.7 / -1.1</t>
  </si>
  <si>
    <t>0.8728299999999872 (0.4, -5.0)</t>
  </si>
  <si>
    <t>0.895859999999985 (0.4, -4.2)</t>
  </si>
  <si>
    <t>0.916005999999986 (0.4, -3.7)</t>
  </si>
  <si>
    <t>0.93384299999998 (0.4, -3.3)</t>
  </si>
  <si>
    <t>0.949105999999968 (0.4, -2.9)</t>
  </si>
  <si>
    <t>0.961315999999966 (0.4, -2.6)</t>
  </si>
  <si>
    <t>0.970865999999962 (0.4, -2.3)</t>
  </si>
  <si>
    <t>0.977729999999955 (0.4, -2.0)</t>
  </si>
  <si>
    <t>0.9822009999999546 (0.4, -1.6)</t>
  </si>
  <si>
    <t>2 (Hard_Set)</t>
  </si>
  <si>
    <t>0.914321999999983 (1.0, -0.5)</t>
  </si>
  <si>
    <t>0.967535999999963 (1.0, -0.5)</t>
  </si>
  <si>
    <t>0.910059999999984 (1.0, -0.4)</t>
  </si>
  <si>
    <t>0.968533999999962 (1.0, -0.4)</t>
  </si>
  <si>
    <t>0.904748999999986 (1.0, -0.4)</t>
  </si>
  <si>
    <t>0.968693999999965 (1.0, -0.2)</t>
  </si>
  <si>
    <t>0.979613999999956 (1.0, -0.1)</t>
  </si>
  <si>
    <t>0.981823999999954 (1.0, -0.1)</t>
  </si>
  <si>
    <t>0.967764999999963 (1.0, 0.0)</t>
  </si>
  <si>
    <t>0.979412999999955 (1.0, 0.0)</t>
  </si>
  <si>
    <t>0.981875999999955 (1.0, 0.0)</t>
  </si>
  <si>
    <t xml:space="preserve"> 0.9810739999999548 (1.0, 0.2)</t>
  </si>
  <si>
    <t>2 (Hard_Set, Wrong)</t>
  </si>
  <si>
    <t>2 (Hard_Set, Correct)</t>
  </si>
  <si>
    <t>4 (Hard_Set)</t>
  </si>
  <si>
    <t>4 (Hard_Set, Correct)</t>
  </si>
  <si>
    <t>8  (Hard_Set)</t>
  </si>
  <si>
    <t>16 (Hard_Set)</t>
  </si>
  <si>
    <t xml:space="preserve"> 0.8262999999999889 (1.0, -2.8)</t>
  </si>
  <si>
    <t>0.691963999999991 (1.0, -2.4)</t>
  </si>
  <si>
    <t>0.8263589999999873 (1.0, -2.8)</t>
  </si>
  <si>
    <t>0.694793999999993 (1.0, -2.2)</t>
  </si>
  <si>
    <t>0.826339999999987 (1.0, -2.9)</t>
  </si>
  <si>
    <t>0.697050999999992 (1.0, -2.1)</t>
  </si>
  <si>
    <t>0.826319999999988 (1.0, -2.9)</t>
  </si>
  <si>
    <t>0.698392999999988 (1.0, -2.1)</t>
  </si>
  <si>
    <t>0.826510999999985 (1.0, -2.9)</t>
  </si>
  <si>
    <t>0.966892999999964 (1.0, -0.5)</t>
  </si>
  <si>
    <t>0.995148999999967 (1.0, -0.4)</t>
  </si>
  <si>
    <t>0.699673999999988 (1.0, -2)</t>
  </si>
  <si>
    <t>0.826167999999984 (1.0, -3.1)</t>
  </si>
  <si>
    <t>0.967009999999965 (1.0, -0.4)</t>
  </si>
  <si>
    <t>0.996439999999975 (1.0, -0.2)</t>
  </si>
  <si>
    <t>0.70115299999999 (1.0, -1.8)</t>
  </si>
  <si>
    <t>0.966053999999969 (1.0, -0.4)</t>
  </si>
  <si>
    <t>0.997306999999982 (1.0, 0)</t>
  </si>
  <si>
    <t>0.702450999999989 (1.0, -1.7)</t>
  </si>
  <si>
    <t>0.964317999999966 (1.0, -0.3)</t>
  </si>
  <si>
    <t>0.997953999999986 (1.0, 0.3)</t>
  </si>
  <si>
    <t>0.703013999999989 (1.0, -1.6)</t>
  </si>
  <si>
    <t>0.961211999999962 (1.0, -0.3)</t>
  </si>
  <si>
    <t>0.995176999999965 (1.0, 0.4)</t>
  </si>
  <si>
    <t>0.998255999999989 (1.0, 0.5)</t>
  </si>
  <si>
    <t>0.702790999999989 (1.0, -1.1)</t>
  </si>
  <si>
    <t>0.956908999999966 (1.0, -0.2)</t>
  </si>
  <si>
    <t>0.995207999999965 (1.0, 0.4)</t>
  </si>
  <si>
    <t>0.998082999999987 (1.0, 0.5)</t>
  </si>
  <si>
    <t>0.998462999999991 (1.0, 0.6)</t>
  </si>
  <si>
    <t>0.702786999999992 (1.0, -0.7)</t>
  </si>
  <si>
    <t>0.994804999999963 (1.0, 0.7)</t>
  </si>
  <si>
    <t>0.998129999999987 (1.0, 0.7)</t>
  </si>
  <si>
    <t>0.998493999999992 (1.0, 0.8)</t>
  </si>
  <si>
    <t>0.998377999999991 (1.0, 1.0)</t>
  </si>
  <si>
    <t>Lower</t>
  </si>
  <si>
    <t>Upper</t>
  </si>
  <si>
    <t>LSH</t>
  </si>
  <si>
    <t>Complement</t>
  </si>
  <si>
    <t>Seg-Cos</t>
  </si>
  <si>
    <t>Last.fm</t>
  </si>
  <si>
    <t>COCO-I2I</t>
  </si>
  <si>
    <t>COCO-T2I</t>
  </si>
  <si>
    <t>DEEP1B</t>
  </si>
  <si>
    <t>1.0 / -0.3</t>
  </si>
  <si>
    <t>1.0 / -0.1</t>
  </si>
  <si>
    <t>1.0 / -0.2</t>
  </si>
  <si>
    <t>1.0 / 0.2</t>
  </si>
  <si>
    <t>1.0 / 0.1</t>
  </si>
  <si>
    <t>1 (1)</t>
  </si>
  <si>
    <t>2 (3)</t>
  </si>
  <si>
    <t>3 (7)</t>
  </si>
  <si>
    <t>4 (15)</t>
  </si>
  <si>
    <t>5 (31)</t>
  </si>
  <si>
    <t>6 (63)</t>
  </si>
  <si>
    <t>7 (128)</t>
  </si>
  <si>
    <t>Clamp</t>
  </si>
  <si>
    <t>Normalize</t>
  </si>
  <si>
    <t>-2.6 / 0.1</t>
  </si>
  <si>
    <t>-2.5 / 0.1</t>
  </si>
  <si>
    <t>0.4 / -1.4</t>
  </si>
  <si>
    <t>-2.4 / 0.1</t>
  </si>
  <si>
    <t>-2.6 / 0.2</t>
  </si>
  <si>
    <t>0.3 / -1.4</t>
  </si>
  <si>
    <t>-2.5 / 0.2</t>
  </si>
  <si>
    <t>-2.4 / 0.2</t>
  </si>
  <si>
    <t>0.5 / -1.3</t>
  </si>
  <si>
    <t>0.6 / -1.2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</si>
</sst>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sz val="10.0"/>
      <color theme="1"/>
      <name val="Arial"/>
      <scheme val="minor"/>
    </font>
    <font>
      <u/>
      <color rgb="FF0000FF"/>
    </font>
    <font>
      <u/>
      <color rgb="FF0000FF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</fills>
  <borders count="4">
    <border/>
    <border>
      <left style="thick">
        <color rgb="FF000000"/>
      </left>
    </border>
    <border>
      <top style="thick">
        <color rgb="FF000000"/>
      </top>
    </border>
    <border>
      <left style="thick">
        <color rgb="FF000000"/>
      </left>
      <top style="thick">
        <color rgb="FF000000"/>
      </top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5" fontId="1" numFmtId="0" xfId="0" applyAlignment="1" applyFont="1">
      <alignment horizontal="center" readingOrder="0"/>
    </xf>
    <xf borderId="0" fillId="4" fontId="1" numFmtId="0" xfId="0" applyAlignment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7" fontId="2" numFmtId="0" xfId="0" applyAlignment="1" applyFill="1" applyFont="1">
      <alignment horizontal="center" readingOrder="0"/>
    </xf>
    <xf borderId="0" fillId="3" fontId="1" numFmtId="0" xfId="0" applyFont="1"/>
    <xf borderId="0" fillId="7" fontId="1" numFmtId="0" xfId="0" applyAlignment="1" applyFont="1">
      <alignment horizontal="center" readingOrder="0"/>
    </xf>
    <xf borderId="0" fillId="6" fontId="1" numFmtId="0" xfId="0" applyAlignment="1" applyFont="1">
      <alignment horizontal="center"/>
    </xf>
    <xf borderId="0" fillId="6" fontId="1" numFmtId="0" xfId="0" applyFont="1"/>
    <xf borderId="0" fillId="8" fontId="2" numFmtId="0" xfId="0" applyAlignment="1" applyFill="1" applyFont="1">
      <alignment horizontal="center" readingOrder="0"/>
    </xf>
    <xf borderId="0" fillId="8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9" xfId="0" applyAlignment="1" applyFont="1" applyNumberFormat="1">
      <alignment horizontal="center" readingOrder="0"/>
    </xf>
    <xf borderId="0" fillId="0" fontId="1" numFmtId="164" xfId="0" applyAlignment="1" applyFont="1" applyNumberFormat="1">
      <alignment readingOrder="0"/>
    </xf>
    <xf borderId="0" fillId="9" fontId="2" numFmtId="0" xfId="0" applyAlignment="1" applyFill="1" applyFont="1">
      <alignment horizontal="center" readingOrder="0"/>
    </xf>
    <xf borderId="0" fillId="9" fontId="1" numFmtId="0" xfId="0" applyAlignment="1" applyFont="1">
      <alignment horizontal="center" readingOrder="0"/>
    </xf>
    <xf borderId="0" fillId="10" fontId="2" numFmtId="0" xfId="0" applyAlignment="1" applyFill="1" applyFont="1">
      <alignment horizontal="center" readingOrder="0"/>
    </xf>
    <xf borderId="0" fillId="10" fontId="1" numFmtId="0" xfId="0" applyAlignment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6" fontId="2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quotePrefix="1" borderId="0" fillId="0" fontId="1" numFmtId="0" xfId="0" applyAlignment="1" applyFont="1">
      <alignment horizontal="center" readingOrder="0"/>
    </xf>
    <xf borderId="0" fillId="0" fontId="1" numFmtId="0" xfId="0" applyFont="1"/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10" fontId="1" numFmtId="0" xfId="0" applyAlignment="1" applyFont="1">
      <alignment horizontal="center" readingOrder="0"/>
    </xf>
    <xf borderId="0" fillId="3" fontId="1" numFmtId="0" xfId="0" applyAlignment="1" applyFont="1">
      <alignment horizontal="center"/>
    </xf>
    <xf borderId="0" fillId="10" fontId="3" numFmtId="0" xfId="0" applyAlignment="1" applyFont="1">
      <alignment horizontal="center" readingOrder="0" vertical="bottom"/>
    </xf>
    <xf borderId="0" fillId="10" fontId="4" numFmtId="0" xfId="0" applyAlignment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center" vertical="bottom"/>
    </xf>
    <xf borderId="0" fillId="6" fontId="3" numFmtId="0" xfId="0" applyAlignment="1" applyFont="1">
      <alignment vertical="bottom"/>
    </xf>
    <xf borderId="0" fillId="6" fontId="3" numFmtId="0" xfId="0" applyAlignment="1" applyFont="1">
      <alignment horizontal="center" readingOrder="0" vertical="bottom"/>
    </xf>
    <xf borderId="0" fillId="6" fontId="3" numFmtId="0" xfId="0" applyAlignment="1" applyFont="1">
      <alignment horizontal="center" vertical="bottom"/>
    </xf>
    <xf borderId="0" fillId="6" fontId="4" numFmtId="0" xfId="0" applyAlignment="1" applyFont="1">
      <alignment horizontal="center" vertical="bottom"/>
    </xf>
    <xf borderId="0" fillId="6" fontId="4" numFmtId="0" xfId="0" applyAlignment="1" applyFont="1">
      <alignment horizontal="center" vertical="bottom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3" fontId="1" numFmtId="0" xfId="0" applyAlignment="1" applyBorder="1" applyFont="1">
      <alignment horizontal="center"/>
    </xf>
    <xf borderId="1" fillId="0" fontId="3" numFmtId="0" xfId="0" applyAlignment="1" applyBorder="1" applyFont="1">
      <alignment horizontal="center" vertical="bottom"/>
    </xf>
    <xf borderId="0" fillId="6" fontId="4" numFmtId="0" xfId="0" applyAlignment="1" applyFont="1">
      <alignment horizontal="center" readingOrder="0" vertical="bottom"/>
    </xf>
    <xf borderId="1" fillId="3" fontId="3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readingOrder="0" vertical="bottom"/>
    </xf>
    <xf borderId="3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0" fillId="3" fontId="3" numFmtId="0" xfId="0" applyAlignment="1" applyFont="1">
      <alignment horizontal="center" readingOrder="0" vertical="bottom"/>
    </xf>
    <xf borderId="0" fillId="2" fontId="3" numFmtId="0" xfId="0" applyAlignment="1" applyFont="1">
      <alignment vertical="bottom"/>
    </xf>
    <xf borderId="0" fillId="3" fontId="3" numFmtId="0" xfId="0" applyAlignment="1" applyFont="1">
      <alignment vertical="bottom"/>
    </xf>
    <xf borderId="2" fillId="0" fontId="6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2" fillId="0" fontId="1" numFmtId="0" xfId="0" applyAlignment="1" applyBorder="1" applyFont="1">
      <alignment horizontal="center"/>
    </xf>
    <xf borderId="0" fillId="0" fontId="7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last.fm/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last.fm/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22559.0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/>
      <c r="H1" s="2"/>
      <c r="I1" s="2"/>
    </row>
    <row r="2">
      <c r="A2" s="1">
        <v>1.0</v>
      </c>
      <c r="B2" s="1">
        <v>11367.0</v>
      </c>
      <c r="C2" s="1">
        <v>11367.0</v>
      </c>
      <c r="D2" s="1">
        <v>11367.0</v>
      </c>
      <c r="E2" s="1">
        <v>11367.0</v>
      </c>
      <c r="F2" s="1">
        <v>11367.0</v>
      </c>
      <c r="G2" s="2">
        <f t="shared" ref="G2:G20" si="1">AVERAGE(B2:F2)/22559</f>
        <v>0.503878718</v>
      </c>
      <c r="H2" s="2">
        <f t="shared" ref="H2:H21" si="2">MAX(B2:F2)/22559</f>
        <v>0.503878718</v>
      </c>
      <c r="I2" s="2">
        <f t="shared" ref="I2:I21" si="3">MIN(B2:F2)/22559</f>
        <v>0.503878718</v>
      </c>
    </row>
    <row r="3">
      <c r="A3" s="1">
        <v>2.0</v>
      </c>
      <c r="B3" s="1">
        <v>16971.0</v>
      </c>
      <c r="C3" s="1">
        <v>16971.0</v>
      </c>
      <c r="D3" s="1">
        <v>16971.0</v>
      </c>
      <c r="E3" s="1">
        <v>16971.0</v>
      </c>
      <c r="F3" s="1">
        <v>16971.0</v>
      </c>
      <c r="G3" s="2">
        <f t="shared" si="1"/>
        <v>0.7522939847</v>
      </c>
      <c r="H3" s="2">
        <f t="shared" si="2"/>
        <v>0.7522939847</v>
      </c>
      <c r="I3" s="2">
        <f t="shared" si="3"/>
        <v>0.7522939847</v>
      </c>
    </row>
    <row r="4">
      <c r="A4" s="1">
        <v>3.0</v>
      </c>
      <c r="B4" s="1">
        <v>18717.0</v>
      </c>
      <c r="C4" s="1">
        <v>18717.0</v>
      </c>
      <c r="D4" s="1">
        <v>18717.0</v>
      </c>
      <c r="E4" s="1">
        <v>18717.0</v>
      </c>
      <c r="F4" s="1">
        <v>18717.0</v>
      </c>
      <c r="G4" s="2">
        <f t="shared" si="1"/>
        <v>0.8296910324</v>
      </c>
      <c r="H4" s="2">
        <f t="shared" si="2"/>
        <v>0.8296910324</v>
      </c>
      <c r="I4" s="2">
        <f t="shared" si="3"/>
        <v>0.8296910324</v>
      </c>
    </row>
    <row r="5">
      <c r="A5" s="1">
        <v>4.0</v>
      </c>
      <c r="B5" s="1">
        <v>20101.0</v>
      </c>
      <c r="C5" s="1">
        <v>20101.0</v>
      </c>
      <c r="D5" s="1">
        <v>20101.0</v>
      </c>
      <c r="E5" s="1">
        <v>20101.0</v>
      </c>
      <c r="F5" s="1">
        <v>20101.0</v>
      </c>
      <c r="G5" s="2">
        <f t="shared" si="1"/>
        <v>0.8910412696</v>
      </c>
      <c r="H5" s="2">
        <f t="shared" si="2"/>
        <v>0.8910412696</v>
      </c>
      <c r="I5" s="2">
        <f t="shared" si="3"/>
        <v>0.8910412696</v>
      </c>
    </row>
    <row r="6">
      <c r="A6" s="1">
        <v>5.0</v>
      </c>
      <c r="B6" s="1">
        <v>20750.0</v>
      </c>
      <c r="C6" s="1">
        <v>20750.0</v>
      </c>
      <c r="D6" s="1">
        <v>20750.0</v>
      </c>
      <c r="E6" s="1">
        <v>20750.0</v>
      </c>
      <c r="F6" s="1">
        <v>20750.0</v>
      </c>
      <c r="G6" s="2">
        <f t="shared" si="1"/>
        <v>0.9198102753</v>
      </c>
      <c r="H6" s="2">
        <f t="shared" si="2"/>
        <v>0.9198102753</v>
      </c>
      <c r="I6" s="2">
        <f t="shared" si="3"/>
        <v>0.9198102753</v>
      </c>
    </row>
    <row r="7">
      <c r="A7" s="1">
        <v>6.0</v>
      </c>
      <c r="B7" s="1">
        <v>21158.0</v>
      </c>
      <c r="C7" s="1">
        <v>21158.0</v>
      </c>
      <c r="D7" s="1">
        <v>21158.0</v>
      </c>
      <c r="E7" s="1">
        <v>21158.0</v>
      </c>
      <c r="F7" s="1">
        <v>21158.0</v>
      </c>
      <c r="G7" s="2">
        <f t="shared" si="1"/>
        <v>0.9378961833</v>
      </c>
      <c r="H7" s="2">
        <f t="shared" si="2"/>
        <v>0.9378961833</v>
      </c>
      <c r="I7" s="2">
        <f t="shared" si="3"/>
        <v>0.9378961833</v>
      </c>
    </row>
    <row r="8">
      <c r="A8" s="1">
        <v>7.0</v>
      </c>
      <c r="B8" s="1">
        <v>21490.0</v>
      </c>
      <c r="C8" s="1">
        <v>21490.0</v>
      </c>
      <c r="D8" s="1">
        <v>21490.0</v>
      </c>
      <c r="E8" s="1">
        <v>21490.0</v>
      </c>
      <c r="F8" s="1">
        <v>21490.0</v>
      </c>
      <c r="G8" s="2">
        <f t="shared" si="1"/>
        <v>0.9526131477</v>
      </c>
      <c r="H8" s="2">
        <f t="shared" si="2"/>
        <v>0.9526131477</v>
      </c>
      <c r="I8" s="2">
        <f t="shared" si="3"/>
        <v>0.9526131477</v>
      </c>
    </row>
    <row r="9">
      <c r="A9" s="1">
        <v>8.0</v>
      </c>
      <c r="B9" s="1">
        <v>21674.0</v>
      </c>
      <c r="C9" s="1">
        <v>21674.0</v>
      </c>
      <c r="D9" s="1">
        <v>21674.0</v>
      </c>
      <c r="E9" s="1">
        <v>21674.0</v>
      </c>
      <c r="F9" s="1">
        <v>21680.0</v>
      </c>
      <c r="G9" s="2">
        <f t="shared" si="1"/>
        <v>0.9608227315</v>
      </c>
      <c r="H9" s="2">
        <f t="shared" si="2"/>
        <v>0.9610355069</v>
      </c>
      <c r="I9" s="2">
        <f t="shared" si="3"/>
        <v>0.9607695377</v>
      </c>
    </row>
    <row r="10">
      <c r="A10" s="1">
        <v>9.0</v>
      </c>
      <c r="B10" s="1">
        <v>21843.0</v>
      </c>
      <c r="C10" s="1">
        <v>21843.0</v>
      </c>
      <c r="D10" s="1">
        <v>21843.0</v>
      </c>
      <c r="E10" s="1">
        <v>21843.0</v>
      </c>
      <c r="F10" s="1">
        <v>21849.0</v>
      </c>
      <c r="G10" s="2">
        <f t="shared" si="1"/>
        <v>0.9683141983</v>
      </c>
      <c r="H10" s="2">
        <f t="shared" si="2"/>
        <v>0.9685269737</v>
      </c>
      <c r="I10" s="2">
        <f t="shared" si="3"/>
        <v>0.9682610045</v>
      </c>
    </row>
    <row r="11">
      <c r="A11" s="1">
        <v>10.0</v>
      </c>
      <c r="B11" s="1">
        <v>21980.0</v>
      </c>
      <c r="C11" s="1">
        <v>21980.0</v>
      </c>
      <c r="D11" s="1">
        <v>21980.0</v>
      </c>
      <c r="E11" s="1">
        <v>21980.0</v>
      </c>
      <c r="F11" s="1">
        <v>21986.0</v>
      </c>
      <c r="G11" s="2">
        <f t="shared" si="1"/>
        <v>0.9743871626</v>
      </c>
      <c r="H11" s="2">
        <f t="shared" si="2"/>
        <v>0.9745999379</v>
      </c>
      <c r="I11" s="2">
        <f t="shared" si="3"/>
        <v>0.9743339687</v>
      </c>
    </row>
    <row r="12">
      <c r="A12" s="1">
        <v>11.0</v>
      </c>
      <c r="B12" s="1">
        <v>22073.0</v>
      </c>
      <c r="C12" s="1">
        <v>22073.0</v>
      </c>
      <c r="D12" s="1">
        <v>22073.0</v>
      </c>
      <c r="E12" s="1">
        <v>22073.0</v>
      </c>
      <c r="F12" s="1">
        <v>22079.0</v>
      </c>
      <c r="G12" s="2">
        <f t="shared" si="1"/>
        <v>0.9785096857</v>
      </c>
      <c r="H12" s="2">
        <f t="shared" si="2"/>
        <v>0.9787224611</v>
      </c>
      <c r="I12" s="2">
        <f t="shared" si="3"/>
        <v>0.9784564919</v>
      </c>
    </row>
    <row r="13">
      <c r="A13" s="1">
        <v>12.0</v>
      </c>
      <c r="B13" s="1">
        <v>22153.0</v>
      </c>
      <c r="C13" s="1">
        <v>22155.0</v>
      </c>
      <c r="D13" s="1">
        <v>22155.0</v>
      </c>
      <c r="E13" s="1">
        <v>22153.0</v>
      </c>
      <c r="F13" s="1">
        <v>22161.0</v>
      </c>
      <c r="G13" s="2">
        <f t="shared" si="1"/>
        <v>0.982109136</v>
      </c>
      <c r="H13" s="2">
        <f t="shared" si="2"/>
        <v>0.982357374</v>
      </c>
      <c r="I13" s="2">
        <f t="shared" si="3"/>
        <v>0.9820027483</v>
      </c>
    </row>
    <row r="14">
      <c r="A14" s="1">
        <v>13.0</v>
      </c>
      <c r="B14" s="1">
        <v>22226.0</v>
      </c>
      <c r="C14" s="1">
        <v>22228.0</v>
      </c>
      <c r="D14" s="1">
        <v>22226.0</v>
      </c>
      <c r="E14" s="1">
        <v>22230.0</v>
      </c>
      <c r="F14" s="1">
        <v>22231.0</v>
      </c>
      <c r="G14" s="2">
        <f t="shared" si="1"/>
        <v>0.9853362294</v>
      </c>
      <c r="H14" s="2">
        <f t="shared" si="2"/>
        <v>0.9854603484</v>
      </c>
      <c r="I14" s="2">
        <f t="shared" si="3"/>
        <v>0.9852387074</v>
      </c>
    </row>
    <row r="15">
      <c r="A15" s="1">
        <v>14.0</v>
      </c>
      <c r="B15" s="1">
        <v>22286.0</v>
      </c>
      <c r="C15" s="1">
        <v>22288.0</v>
      </c>
      <c r="D15" s="1">
        <v>22290.0</v>
      </c>
      <c r="E15" s="1">
        <v>22288.0</v>
      </c>
      <c r="F15" s="1">
        <v>22293.0</v>
      </c>
      <c r="G15" s="2">
        <f t="shared" si="1"/>
        <v>0.9880313844</v>
      </c>
      <c r="H15" s="2">
        <f t="shared" si="2"/>
        <v>0.9882086972</v>
      </c>
      <c r="I15" s="2">
        <f t="shared" si="3"/>
        <v>0.9878983998</v>
      </c>
    </row>
    <row r="16">
      <c r="A16" s="1">
        <v>15.0</v>
      </c>
      <c r="B16" s="1">
        <v>22344.0</v>
      </c>
      <c r="C16" s="1">
        <v>22345.0</v>
      </c>
      <c r="D16" s="1">
        <v>22343.0</v>
      </c>
      <c r="E16" s="1">
        <v>22345.0</v>
      </c>
      <c r="F16" s="1">
        <v>22346.0</v>
      </c>
      <c r="G16" s="2">
        <f t="shared" si="1"/>
        <v>0.9904960326</v>
      </c>
      <c r="H16" s="2">
        <f t="shared" si="2"/>
        <v>0.9905580921</v>
      </c>
      <c r="I16" s="2">
        <f t="shared" si="3"/>
        <v>0.9904251075</v>
      </c>
    </row>
    <row r="17">
      <c r="A17" s="1">
        <v>16.0</v>
      </c>
      <c r="B17" s="1">
        <v>22391.0</v>
      </c>
      <c r="C17" s="1">
        <v>22395.0</v>
      </c>
      <c r="D17" s="1">
        <v>22393.0</v>
      </c>
      <c r="E17" s="1">
        <v>22392.0</v>
      </c>
      <c r="F17" s="1">
        <v>22396.0</v>
      </c>
      <c r="G17" s="2">
        <f t="shared" si="1"/>
        <v>0.9926592491</v>
      </c>
      <c r="H17" s="2">
        <f t="shared" si="2"/>
        <v>0.9927745024</v>
      </c>
      <c r="I17" s="2">
        <f t="shared" si="3"/>
        <v>0.9925528614</v>
      </c>
    </row>
    <row r="18">
      <c r="A18" s="1">
        <v>17.0</v>
      </c>
      <c r="B18" s="1">
        <v>22432.0</v>
      </c>
      <c r="C18" s="1">
        <v>22440.0</v>
      </c>
      <c r="D18" s="1">
        <v>22434.0</v>
      </c>
      <c r="E18" s="1">
        <v>22430.0</v>
      </c>
      <c r="F18" s="1">
        <v>22435.0</v>
      </c>
      <c r="G18" s="2">
        <f t="shared" si="1"/>
        <v>0.9944678399</v>
      </c>
      <c r="H18" s="2">
        <f t="shared" si="2"/>
        <v>0.9947249435</v>
      </c>
      <c r="I18" s="2">
        <f t="shared" si="3"/>
        <v>0.9942816614</v>
      </c>
    </row>
    <row r="19">
      <c r="A19" s="1">
        <v>18.0</v>
      </c>
      <c r="B19" s="1">
        <v>22470.0</v>
      </c>
      <c r="C19" s="1">
        <v>22476.0</v>
      </c>
      <c r="D19" s="1">
        <v>22468.0</v>
      </c>
      <c r="E19" s="1">
        <v>22467.0</v>
      </c>
      <c r="F19" s="1">
        <v>22473.0</v>
      </c>
      <c r="G19" s="2">
        <f t="shared" si="1"/>
        <v>0.9960902522</v>
      </c>
      <c r="H19" s="2">
        <f t="shared" si="2"/>
        <v>0.9963207589</v>
      </c>
      <c r="I19" s="2">
        <f t="shared" si="3"/>
        <v>0.995921805</v>
      </c>
    </row>
    <row r="20">
      <c r="A20" s="1">
        <v>19.0</v>
      </c>
      <c r="B20" s="1">
        <v>22500.0</v>
      </c>
      <c r="C20" s="1">
        <v>22507.0</v>
      </c>
      <c r="D20" s="1">
        <v>22498.0</v>
      </c>
      <c r="E20" s="1">
        <v>22499.0</v>
      </c>
      <c r="F20" s="1">
        <v>22498.0</v>
      </c>
      <c r="G20" s="2">
        <f t="shared" si="1"/>
        <v>0.9974023671</v>
      </c>
      <c r="H20" s="2">
        <f t="shared" si="2"/>
        <v>0.9976949333</v>
      </c>
      <c r="I20" s="2">
        <f t="shared" si="3"/>
        <v>0.9972959794</v>
      </c>
    </row>
    <row r="21">
      <c r="A21" s="2"/>
      <c r="B21" s="2"/>
      <c r="C21" s="2"/>
      <c r="D21" s="2"/>
      <c r="E21" s="2"/>
      <c r="F21" s="1">
        <v>22559.0</v>
      </c>
      <c r="G21" s="2">
        <f>AVERAGE(B21:F21)</f>
        <v>22559</v>
      </c>
      <c r="H21" s="2">
        <f t="shared" si="2"/>
        <v>1</v>
      </c>
      <c r="I21" s="2">
        <f t="shared" si="3"/>
        <v>1</v>
      </c>
    </row>
    <row r="22">
      <c r="A22" s="2"/>
      <c r="B22" s="2"/>
      <c r="C22" s="2"/>
      <c r="D22" s="2"/>
      <c r="E22" s="2"/>
      <c r="F22" s="2"/>
      <c r="G22" s="2"/>
      <c r="H22" s="2"/>
      <c r="I22" s="2"/>
    </row>
    <row r="23">
      <c r="A23" s="2"/>
      <c r="B23" s="2"/>
      <c r="C23" s="2"/>
      <c r="D23" s="2"/>
      <c r="E23" s="2"/>
      <c r="F23" s="2"/>
      <c r="G23" s="2"/>
      <c r="H23" s="2"/>
      <c r="I23" s="2"/>
    </row>
    <row r="24">
      <c r="A24" s="2"/>
      <c r="B24" s="2"/>
      <c r="C24" s="2"/>
      <c r="D24" s="2"/>
      <c r="E24" s="2"/>
      <c r="F24" s="2"/>
      <c r="G24" s="2"/>
      <c r="H24" s="2"/>
      <c r="I2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7" max="7" width="10.38"/>
    <col customWidth="1" min="8" max="8" width="28.0"/>
    <col customWidth="1" min="13" max="13" width="25.13"/>
    <col customWidth="1" min="20" max="20" width="27.13"/>
  </cols>
  <sheetData>
    <row r="1">
      <c r="A1" s="1"/>
      <c r="B1" s="1" t="s">
        <v>5</v>
      </c>
      <c r="C1" s="2"/>
      <c r="H1" s="1"/>
      <c r="I1" s="1" t="s">
        <v>5</v>
      </c>
      <c r="J1" s="2"/>
    </row>
    <row r="2">
      <c r="A2" s="3" t="s">
        <v>6</v>
      </c>
      <c r="B2" s="1" t="s">
        <v>7</v>
      </c>
      <c r="C2" s="1"/>
      <c r="D2" s="1" t="s">
        <v>8</v>
      </c>
      <c r="E2" s="1" t="s">
        <v>9</v>
      </c>
      <c r="F2" s="1" t="s">
        <v>10</v>
      </c>
      <c r="H2" s="3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4"/>
      <c r="N2" s="1"/>
      <c r="O2" s="1"/>
      <c r="P2" s="1"/>
      <c r="Q2" s="1"/>
    </row>
    <row r="3">
      <c r="A3" s="4" t="s">
        <v>11</v>
      </c>
      <c r="B3" s="1">
        <v>61.2375</v>
      </c>
      <c r="C3" s="1"/>
      <c r="D3" s="1">
        <v>71.092</v>
      </c>
      <c r="E3" s="1">
        <v>71.092</v>
      </c>
      <c r="F3" s="1">
        <v>11.6958</v>
      </c>
      <c r="H3" s="4" t="s">
        <v>11</v>
      </c>
      <c r="I3" s="1">
        <v>61.2375</v>
      </c>
      <c r="J3" s="1">
        <v>71.092</v>
      </c>
      <c r="K3" s="1">
        <v>71.092</v>
      </c>
      <c r="L3" s="1">
        <v>11.6958</v>
      </c>
      <c r="M3" s="5" t="s">
        <v>12</v>
      </c>
      <c r="T3" s="6" t="s">
        <v>13</v>
      </c>
      <c r="U3" s="1" t="s">
        <v>7</v>
      </c>
      <c r="V3" s="1" t="s">
        <v>8</v>
      </c>
      <c r="W3" s="1" t="s">
        <v>14</v>
      </c>
      <c r="X3" s="1" t="s">
        <v>15</v>
      </c>
    </row>
    <row r="4">
      <c r="A4" s="5" t="s">
        <v>16</v>
      </c>
      <c r="B4" s="1"/>
      <c r="C4" s="1"/>
      <c r="D4" s="1" t="s">
        <v>8</v>
      </c>
      <c r="E4" s="1" t="s">
        <v>14</v>
      </c>
      <c r="F4" s="1" t="s">
        <v>15</v>
      </c>
      <c r="H4" s="5" t="s">
        <v>16</v>
      </c>
      <c r="I4" s="1"/>
      <c r="J4" s="1" t="s">
        <v>8</v>
      </c>
      <c r="K4" s="1" t="s">
        <v>14</v>
      </c>
      <c r="L4" s="1" t="s">
        <v>15</v>
      </c>
      <c r="M4" s="5" t="s">
        <v>16</v>
      </c>
      <c r="O4" s="1" t="s">
        <v>8</v>
      </c>
      <c r="P4" s="1" t="s">
        <v>14</v>
      </c>
      <c r="Q4" s="1" t="s">
        <v>15</v>
      </c>
      <c r="T4" s="7">
        <v>128.0</v>
      </c>
      <c r="U4" s="1">
        <v>51.4062</v>
      </c>
      <c r="V4" s="1">
        <v>71.0526</v>
      </c>
      <c r="W4" s="1">
        <v>-0.0394</v>
      </c>
      <c r="X4" s="1">
        <v>7.7188</v>
      </c>
      <c r="Y4" s="1">
        <f t="shared" ref="Y4:Y43" si="1">sqrt(1/(4*T4))*180</f>
        <v>7.954951288</v>
      </c>
    </row>
    <row r="5">
      <c r="A5" s="8" t="s">
        <v>17</v>
      </c>
      <c r="B5" s="9">
        <v>60.5312</v>
      </c>
      <c r="C5" s="9"/>
      <c r="D5" s="9">
        <v>59.0617</v>
      </c>
      <c r="E5" s="9">
        <v>-12.0303</v>
      </c>
      <c r="F5" s="9">
        <v>1.8498</v>
      </c>
      <c r="H5" s="8" t="s">
        <v>18</v>
      </c>
      <c r="I5" s="4">
        <v>61.2156</v>
      </c>
      <c r="J5" s="4">
        <v>68.041</v>
      </c>
      <c r="K5" s="4">
        <v>-3.0509</v>
      </c>
      <c r="L5" s="4">
        <v>0.8987</v>
      </c>
      <c r="M5" s="8" t="s">
        <v>19</v>
      </c>
      <c r="N5" s="1">
        <v>61.2375</v>
      </c>
      <c r="O5" s="1">
        <v>71.092</v>
      </c>
      <c r="P5" s="1">
        <v>0.0</v>
      </c>
      <c r="Q5" s="1">
        <v>0.0</v>
      </c>
      <c r="T5" s="7">
        <v>256.0</v>
      </c>
      <c r="U5" s="1">
        <v>55.65</v>
      </c>
      <c r="V5" s="1">
        <v>71.1048</v>
      </c>
      <c r="W5" s="1">
        <v>0.0128</v>
      </c>
      <c r="X5" s="1">
        <v>5.4602</v>
      </c>
      <c r="Y5" s="1">
        <f t="shared" si="1"/>
        <v>5.625</v>
      </c>
    </row>
    <row r="6">
      <c r="A6" s="8" t="s">
        <v>20</v>
      </c>
      <c r="B6" s="1">
        <v>54.0156</v>
      </c>
      <c r="C6" s="1">
        <v>54.025</v>
      </c>
      <c r="D6" s="1">
        <v>44.9623</v>
      </c>
      <c r="E6" s="1">
        <v>-26.1297</v>
      </c>
      <c r="F6" s="1">
        <v>4.4357</v>
      </c>
      <c r="H6" s="8" t="s">
        <v>21</v>
      </c>
      <c r="I6" s="4">
        <v>61.2219</v>
      </c>
      <c r="J6" s="4">
        <v>67.5925</v>
      </c>
      <c r="K6" s="4">
        <v>-3.4995</v>
      </c>
      <c r="L6" s="4">
        <v>0.9649</v>
      </c>
      <c r="M6" s="8" t="s">
        <v>22</v>
      </c>
      <c r="N6" s="1">
        <v>61.2375</v>
      </c>
      <c r="O6" s="1">
        <v>71.092</v>
      </c>
      <c r="P6" s="1">
        <v>0.0</v>
      </c>
      <c r="Q6" s="1">
        <v>0.0</v>
      </c>
      <c r="T6" s="7">
        <v>384.0</v>
      </c>
      <c r="U6" s="1">
        <v>57.3344</v>
      </c>
      <c r="V6" s="1">
        <v>71.1727</v>
      </c>
      <c r="W6" s="1">
        <v>0.0808</v>
      </c>
      <c r="X6" s="1">
        <v>4.4559</v>
      </c>
      <c r="Y6" s="1">
        <f t="shared" si="1"/>
        <v>4.592793268</v>
      </c>
    </row>
    <row r="7">
      <c r="A7" s="8" t="s">
        <v>23</v>
      </c>
      <c r="B7" s="1">
        <v>36.2469</v>
      </c>
      <c r="C7" s="1">
        <v>29.9937</v>
      </c>
      <c r="D7" s="1">
        <v>24.9807</v>
      </c>
      <c r="E7" s="1">
        <v>-46.1113</v>
      </c>
      <c r="F7" s="1">
        <v>10.3878</v>
      </c>
      <c r="H7" s="8" t="s">
        <v>24</v>
      </c>
      <c r="I7" s="4">
        <v>61.2094</v>
      </c>
      <c r="J7" s="4">
        <v>66.9879</v>
      </c>
      <c r="K7" s="4">
        <v>-4.1041</v>
      </c>
      <c r="L7" s="4">
        <v>1.0506</v>
      </c>
      <c r="M7" s="8" t="s">
        <v>25</v>
      </c>
      <c r="N7" s="1">
        <v>61.2375</v>
      </c>
      <c r="O7" s="1">
        <v>71.092</v>
      </c>
      <c r="P7" s="1">
        <v>0.0</v>
      </c>
      <c r="Q7" s="1">
        <v>0.0</v>
      </c>
      <c r="T7" s="7">
        <v>512.0</v>
      </c>
      <c r="U7" s="1">
        <v>58.3406</v>
      </c>
      <c r="V7" s="1">
        <v>71.1167</v>
      </c>
      <c r="W7" s="1">
        <v>0.0248</v>
      </c>
      <c r="X7" s="1">
        <v>3.8566</v>
      </c>
      <c r="Y7" s="1">
        <f t="shared" si="1"/>
        <v>3.977475644</v>
      </c>
    </row>
    <row r="8">
      <c r="A8" s="8" t="s">
        <v>26</v>
      </c>
      <c r="B8" s="1">
        <v>21.8781</v>
      </c>
      <c r="C8" s="1">
        <v>13.7344</v>
      </c>
      <c r="D8" s="1">
        <v>6.9088</v>
      </c>
      <c r="E8" s="1">
        <v>-64.1832</v>
      </c>
      <c r="F8" s="1">
        <v>11.5776</v>
      </c>
      <c r="H8" s="8" t="s">
        <v>27</v>
      </c>
      <c r="I8" s="4">
        <v>61.1594</v>
      </c>
      <c r="J8" s="4">
        <v>66.1249</v>
      </c>
      <c r="K8" s="4">
        <v>-4.9671</v>
      </c>
      <c r="L8" s="4">
        <v>1.1668</v>
      </c>
      <c r="M8" s="8" t="s">
        <v>28</v>
      </c>
      <c r="N8" s="1">
        <v>61.2375</v>
      </c>
      <c r="O8" s="1">
        <v>71.092</v>
      </c>
      <c r="P8" s="1">
        <v>0.0</v>
      </c>
      <c r="Q8" s="1">
        <v>0.0</v>
      </c>
      <c r="T8" s="7">
        <v>640.0</v>
      </c>
      <c r="U8" s="1">
        <v>58.825</v>
      </c>
      <c r="V8" s="1">
        <v>71.1068</v>
      </c>
      <c r="W8" s="1">
        <v>0.0148</v>
      </c>
      <c r="X8" s="1">
        <v>3.4463</v>
      </c>
      <c r="Y8" s="1">
        <f t="shared" si="1"/>
        <v>3.557562368</v>
      </c>
    </row>
    <row r="9">
      <c r="A9" s="8" t="s">
        <v>29</v>
      </c>
      <c r="B9" s="1">
        <v>14.5156</v>
      </c>
      <c r="C9" s="1">
        <v>12.6281</v>
      </c>
      <c r="D9" s="1">
        <v>0.9585</v>
      </c>
      <c r="E9" s="1">
        <v>-70.1335</v>
      </c>
      <c r="F9" s="1">
        <v>11.4132</v>
      </c>
      <c r="H9" s="8" t="s">
        <v>30</v>
      </c>
      <c r="I9" s="4">
        <v>62.7156</v>
      </c>
      <c r="J9" s="4">
        <v>64.8478</v>
      </c>
      <c r="K9" s="4">
        <v>-6.2442</v>
      </c>
      <c r="L9" s="4">
        <v>1.3275</v>
      </c>
      <c r="M9" s="8" t="s">
        <v>31</v>
      </c>
      <c r="N9" s="1">
        <v>61.2375</v>
      </c>
      <c r="O9" s="1">
        <v>71.092</v>
      </c>
      <c r="P9" s="1">
        <v>0.0</v>
      </c>
      <c r="Q9" s="1">
        <v>0.0</v>
      </c>
      <c r="T9" s="7">
        <v>768.0</v>
      </c>
      <c r="U9" s="1">
        <v>59.05</v>
      </c>
      <c r="V9" s="1">
        <v>71.1032</v>
      </c>
      <c r="W9" s="1">
        <v>0.0113</v>
      </c>
      <c r="X9" s="1">
        <v>3.1485</v>
      </c>
      <c r="Y9" s="1">
        <f t="shared" si="1"/>
        <v>3.247595264</v>
      </c>
    </row>
    <row r="10">
      <c r="A10" s="8" t="s">
        <v>32</v>
      </c>
      <c r="B10" s="9">
        <v>61.0187</v>
      </c>
      <c r="C10" s="9"/>
      <c r="D10" s="9">
        <v>82.3103</v>
      </c>
      <c r="E10" s="9">
        <v>11.2183</v>
      </c>
      <c r="F10" s="9">
        <v>1.8282</v>
      </c>
      <c r="H10" s="8" t="s">
        <v>33</v>
      </c>
      <c r="I10" s="4">
        <v>60.6656</v>
      </c>
      <c r="J10" s="4">
        <v>62.8157</v>
      </c>
      <c r="K10" s="4">
        <v>-8.2763</v>
      </c>
      <c r="L10" s="4">
        <v>1.5446</v>
      </c>
      <c r="M10" s="8" t="s">
        <v>34</v>
      </c>
      <c r="N10" s="1">
        <v>61.2375</v>
      </c>
      <c r="O10" s="1">
        <v>71.092</v>
      </c>
      <c r="P10" s="1">
        <v>0.0</v>
      </c>
      <c r="Q10" s="1">
        <v>0.0</v>
      </c>
      <c r="T10" s="7">
        <v>896.0</v>
      </c>
      <c r="U10" s="1">
        <v>59.4844</v>
      </c>
      <c r="V10" s="1">
        <v>71.0874</v>
      </c>
      <c r="W10" s="1">
        <v>-0.0046</v>
      </c>
      <c r="X10" s="1">
        <v>2.9244</v>
      </c>
      <c r="Y10" s="1">
        <f t="shared" si="1"/>
        <v>3.006688972</v>
      </c>
    </row>
    <row r="11">
      <c r="A11" s="8" t="s">
        <v>35</v>
      </c>
      <c r="B11" s="1">
        <v>60.4906</v>
      </c>
      <c r="C11" s="1">
        <v>60.4906</v>
      </c>
      <c r="D11" s="1">
        <v>93.3325</v>
      </c>
      <c r="E11" s="1">
        <v>22.2405</v>
      </c>
      <c r="F11" s="1">
        <v>3.9128</v>
      </c>
      <c r="H11" s="8" t="s">
        <v>36</v>
      </c>
      <c r="I11" s="4">
        <v>60.5312</v>
      </c>
      <c r="J11" s="4">
        <v>59.0617</v>
      </c>
      <c r="K11" s="4">
        <v>-12.0303</v>
      </c>
      <c r="L11" s="4">
        <v>1.8498</v>
      </c>
      <c r="M11" s="8" t="s">
        <v>37</v>
      </c>
      <c r="N11" s="1">
        <v>61.2375</v>
      </c>
      <c r="O11" s="1">
        <v>71.092</v>
      </c>
      <c r="P11" s="1">
        <v>0.0</v>
      </c>
      <c r="Q11" s="1">
        <v>0.0</v>
      </c>
      <c r="T11" s="7">
        <v>1024.0</v>
      </c>
      <c r="U11" s="1">
        <v>59.8594</v>
      </c>
      <c r="V11" s="1">
        <v>71.0826</v>
      </c>
      <c r="W11" s="1">
        <v>-0.0094</v>
      </c>
      <c r="X11" s="1">
        <v>2.7235</v>
      </c>
      <c r="Y11" s="1">
        <f t="shared" si="1"/>
        <v>2.8125</v>
      </c>
    </row>
    <row r="12">
      <c r="A12" s="8" t="s">
        <v>38</v>
      </c>
      <c r="B12" s="1">
        <v>59.7906</v>
      </c>
      <c r="C12" s="1">
        <v>59.7906</v>
      </c>
      <c r="D12" s="1">
        <v>104.7238</v>
      </c>
      <c r="E12" s="1">
        <v>33.6318</v>
      </c>
      <c r="F12" s="1">
        <v>6.675</v>
      </c>
      <c r="H12" s="8" t="s">
        <v>39</v>
      </c>
      <c r="I12" s="4">
        <v>60.9906</v>
      </c>
      <c r="J12" s="4">
        <v>74.087</v>
      </c>
      <c r="K12" s="4">
        <v>2.995</v>
      </c>
      <c r="L12" s="4">
        <v>0.8764</v>
      </c>
      <c r="M12" s="10" t="s">
        <v>40</v>
      </c>
      <c r="N12" s="4"/>
      <c r="O12" s="11"/>
      <c r="P12" s="11"/>
      <c r="Q12" s="11"/>
      <c r="T12" s="7">
        <v>1152.0</v>
      </c>
      <c r="U12" s="1">
        <v>60.0406</v>
      </c>
      <c r="V12" s="1">
        <v>71.0946</v>
      </c>
      <c r="W12" s="1">
        <v>0.0185</v>
      </c>
      <c r="X12" s="1">
        <v>2.4094</v>
      </c>
      <c r="Y12" s="1">
        <f t="shared" si="1"/>
        <v>2.651650429</v>
      </c>
    </row>
    <row r="13">
      <c r="A13" s="8" t="s">
        <v>41</v>
      </c>
      <c r="B13" s="1">
        <v>59.2563</v>
      </c>
      <c r="C13" s="1">
        <v>59.2563</v>
      </c>
      <c r="D13" s="1">
        <v>117.5178</v>
      </c>
      <c r="E13" s="1">
        <v>46.4258</v>
      </c>
      <c r="F13" s="1">
        <v>11.4684</v>
      </c>
      <c r="H13" s="8" t="s">
        <v>42</v>
      </c>
      <c r="I13" s="4">
        <v>60.9719</v>
      </c>
      <c r="J13" s="4">
        <v>74.5185</v>
      </c>
      <c r="K13" s="4">
        <v>3.4265</v>
      </c>
      <c r="L13" s="4">
        <v>0.9309</v>
      </c>
      <c r="M13" s="12" t="s">
        <v>19</v>
      </c>
      <c r="N13" s="1">
        <v>61.0094</v>
      </c>
      <c r="O13" s="1">
        <v>69.7485</v>
      </c>
      <c r="P13" s="1">
        <v>-1.3435</v>
      </c>
      <c r="Q13" s="1">
        <v>1.5355</v>
      </c>
      <c r="T13" s="7">
        <v>1280.0</v>
      </c>
      <c r="U13" s="1">
        <v>59.8219</v>
      </c>
      <c r="V13" s="1">
        <v>71.1166</v>
      </c>
      <c r="W13" s="1">
        <v>0.0246</v>
      </c>
      <c r="X13" s="1">
        <v>2.4454</v>
      </c>
      <c r="Y13" s="1">
        <f t="shared" si="1"/>
        <v>2.515576475</v>
      </c>
    </row>
    <row r="14">
      <c r="A14" s="8" t="s">
        <v>43</v>
      </c>
      <c r="B14" s="1">
        <v>58.8625</v>
      </c>
      <c r="C14" s="1">
        <v>58.8625</v>
      </c>
      <c r="D14" s="1">
        <v>132.6828</v>
      </c>
      <c r="E14" s="1">
        <v>61.5908</v>
      </c>
      <c r="F14" s="1">
        <v>17.4111</v>
      </c>
      <c r="H14" s="8" t="s">
        <v>44</v>
      </c>
      <c r="I14" s="4">
        <v>60.9</v>
      </c>
      <c r="J14" s="4">
        <v>75.0968</v>
      </c>
      <c r="K14" s="4">
        <v>4.0048</v>
      </c>
      <c r="L14" s="4">
        <v>1.0204</v>
      </c>
      <c r="M14" s="12" t="s">
        <v>22</v>
      </c>
      <c r="N14" s="1">
        <v>60.9562</v>
      </c>
      <c r="O14" s="1">
        <v>69.4987</v>
      </c>
      <c r="P14" s="1">
        <v>-1.5933</v>
      </c>
      <c r="Q14" s="1">
        <v>1.7049</v>
      </c>
      <c r="T14" s="7">
        <v>1408.0</v>
      </c>
      <c r="U14" s="1">
        <v>60.0312</v>
      </c>
      <c r="V14" s="1">
        <v>71.0878</v>
      </c>
      <c r="W14" s="1">
        <v>-0.0041</v>
      </c>
      <c r="X14" s="1">
        <v>2.325</v>
      </c>
      <c r="Y14" s="1">
        <f t="shared" si="1"/>
        <v>2.398508059</v>
      </c>
    </row>
    <row r="15">
      <c r="A15" s="10" t="s">
        <v>40</v>
      </c>
      <c r="B15" s="1"/>
      <c r="C15" s="2"/>
      <c r="H15" s="8" t="s">
        <v>45</v>
      </c>
      <c r="I15" s="4">
        <v>60.8687</v>
      </c>
      <c r="J15" s="4">
        <v>75.9156</v>
      </c>
      <c r="K15" s="4">
        <v>4.8236</v>
      </c>
      <c r="L15" s="4">
        <v>1.1317</v>
      </c>
      <c r="M15" s="12" t="s">
        <v>25</v>
      </c>
      <c r="N15" s="1">
        <v>60.7563</v>
      </c>
      <c r="O15" s="1">
        <v>69.157</v>
      </c>
      <c r="P15" s="1">
        <v>-1.9349</v>
      </c>
      <c r="Q15" s="1">
        <v>1.9352</v>
      </c>
      <c r="T15" s="7">
        <v>1536.0</v>
      </c>
      <c r="U15" s="1">
        <v>60.3188</v>
      </c>
      <c r="V15" s="1">
        <v>71.1036</v>
      </c>
      <c r="W15" s="1">
        <v>0.0116</v>
      </c>
      <c r="X15" s="1">
        <v>2.2159</v>
      </c>
      <c r="Y15" s="1">
        <f t="shared" si="1"/>
        <v>2.296396634</v>
      </c>
    </row>
    <row r="16">
      <c r="A16" s="12" t="s">
        <v>17</v>
      </c>
      <c r="B16" s="9">
        <v>39.2031</v>
      </c>
      <c r="C16" s="13"/>
      <c r="D16" s="14"/>
      <c r="E16" s="14"/>
      <c r="F16" s="14"/>
      <c r="H16" s="8" t="s">
        <v>46</v>
      </c>
      <c r="I16" s="4">
        <v>60.9469</v>
      </c>
      <c r="J16" s="4">
        <v>77.1126</v>
      </c>
      <c r="K16" s="4">
        <v>6.0206</v>
      </c>
      <c r="L16" s="4">
        <v>1.2883</v>
      </c>
      <c r="M16" s="12" t="s">
        <v>28</v>
      </c>
      <c r="N16" s="1">
        <v>60.5312</v>
      </c>
      <c r="O16" s="1">
        <v>68.6168</v>
      </c>
      <c r="P16" s="1">
        <v>-2.4752</v>
      </c>
      <c r="Q16" s="1">
        <v>2.2587</v>
      </c>
      <c r="T16" s="7">
        <v>1664.0</v>
      </c>
      <c r="U16" s="1">
        <v>60.1875</v>
      </c>
      <c r="V16" s="1">
        <v>71.0858</v>
      </c>
      <c r="W16" s="1">
        <v>-0.0062</v>
      </c>
      <c r="X16" s="1">
        <v>2.1372</v>
      </c>
      <c r="Y16" s="1">
        <f t="shared" si="1"/>
        <v>2.20630652</v>
      </c>
    </row>
    <row r="17">
      <c r="A17" s="12" t="s">
        <v>20</v>
      </c>
      <c r="B17" s="1">
        <v>51.4281</v>
      </c>
      <c r="C17" s="2"/>
      <c r="H17" s="8" t="s">
        <v>47</v>
      </c>
      <c r="I17" s="4">
        <v>61.0719</v>
      </c>
      <c r="J17" s="4">
        <v>78.9802</v>
      </c>
      <c r="K17" s="4">
        <v>7.8883</v>
      </c>
      <c r="L17" s="4">
        <v>1.5037</v>
      </c>
      <c r="M17" s="12" t="s">
        <v>31</v>
      </c>
      <c r="N17" s="1">
        <v>60.0656</v>
      </c>
      <c r="O17" s="1">
        <v>67.7154</v>
      </c>
      <c r="P17" s="1">
        <v>-3.3766</v>
      </c>
      <c r="Q17" s="1">
        <v>2.7735</v>
      </c>
      <c r="T17" s="7">
        <v>1792.0</v>
      </c>
      <c r="U17" s="1">
        <v>60.4188</v>
      </c>
      <c r="V17" s="1">
        <v>71.0979</v>
      </c>
      <c r="W17" s="1">
        <v>0.0059</v>
      </c>
      <c r="X17" s="1">
        <v>2.0582</v>
      </c>
      <c r="Y17" s="1">
        <f t="shared" si="1"/>
        <v>2.126050161</v>
      </c>
    </row>
    <row r="18">
      <c r="A18" s="12" t="s">
        <v>23</v>
      </c>
      <c r="B18" s="1">
        <v>43.9312</v>
      </c>
      <c r="C18" s="2"/>
      <c r="H18" s="8" t="s">
        <v>48</v>
      </c>
      <c r="I18" s="4">
        <v>61.0187</v>
      </c>
      <c r="J18" s="4">
        <v>82.3103</v>
      </c>
      <c r="K18" s="4">
        <v>11.2183</v>
      </c>
      <c r="L18" s="4">
        <v>1.8282</v>
      </c>
      <c r="M18" s="12" t="s">
        <v>34</v>
      </c>
      <c r="N18" s="1">
        <v>59.4656</v>
      </c>
      <c r="O18" s="1">
        <v>66.0696</v>
      </c>
      <c r="P18" s="1">
        <v>-5.0224</v>
      </c>
      <c r="Q18" s="1">
        <v>3.8113</v>
      </c>
      <c r="T18" s="7">
        <v>1920.0</v>
      </c>
      <c r="U18" s="1">
        <v>60.5187</v>
      </c>
      <c r="V18" s="1">
        <v>71.0843</v>
      </c>
      <c r="W18" s="1">
        <v>0.0076</v>
      </c>
      <c r="X18" s="1">
        <v>1.9919</v>
      </c>
      <c r="Y18" s="1">
        <f t="shared" si="1"/>
        <v>2.053959591</v>
      </c>
    </row>
    <row r="19">
      <c r="A19" s="12" t="s">
        <v>26</v>
      </c>
      <c r="B19" s="1">
        <v>37.8844</v>
      </c>
      <c r="C19" s="2"/>
      <c r="H19" s="10" t="s">
        <v>40</v>
      </c>
      <c r="I19" s="4"/>
      <c r="J19" s="11"/>
      <c r="K19" s="11"/>
      <c r="L19" s="11"/>
      <c r="M19" s="12" t="s">
        <v>37</v>
      </c>
      <c r="N19" s="1">
        <v>39.7188</v>
      </c>
      <c r="O19" s="1" t="s">
        <v>49</v>
      </c>
      <c r="P19" s="1" t="s">
        <v>49</v>
      </c>
      <c r="Q19" s="1" t="s">
        <v>49</v>
      </c>
      <c r="T19" s="7">
        <v>2048.0</v>
      </c>
      <c r="U19" s="1">
        <v>60.3438</v>
      </c>
      <c r="V19" s="1">
        <v>71.0876</v>
      </c>
      <c r="W19" s="1">
        <v>-0.0044</v>
      </c>
      <c r="X19" s="1">
        <v>1.925</v>
      </c>
      <c r="Y19" s="1">
        <f t="shared" si="1"/>
        <v>1.988737822</v>
      </c>
    </row>
    <row r="20">
      <c r="A20" s="12" t="s">
        <v>29</v>
      </c>
      <c r="B20" s="1">
        <v>33.5219</v>
      </c>
      <c r="C20" s="2"/>
      <c r="H20" s="12" t="s">
        <v>18</v>
      </c>
      <c r="I20" s="4">
        <v>60.7844</v>
      </c>
      <c r="J20" s="4">
        <v>62.968</v>
      </c>
      <c r="K20" s="4">
        <v>-8.124</v>
      </c>
      <c r="L20" s="4">
        <v>2.047</v>
      </c>
      <c r="M20" s="15" t="s">
        <v>50</v>
      </c>
      <c r="T20" s="7">
        <v>2176.0</v>
      </c>
      <c r="U20" s="1">
        <v>60.6156</v>
      </c>
      <c r="V20" s="1">
        <v>71.1041</v>
      </c>
      <c r="W20" s="1">
        <v>0.0121</v>
      </c>
      <c r="X20" s="1">
        <v>1.8634</v>
      </c>
      <c r="Y20" s="1">
        <f t="shared" si="1"/>
        <v>1.929359083</v>
      </c>
    </row>
    <row r="21">
      <c r="A21" s="12" t="s">
        <v>32</v>
      </c>
      <c r="B21" s="1">
        <v>53.5625</v>
      </c>
      <c r="C21" s="2"/>
      <c r="D21" s="1">
        <v>122.4866</v>
      </c>
      <c r="E21" s="1">
        <v>51.3946</v>
      </c>
      <c r="F21" s="1">
        <v>7.0966</v>
      </c>
      <c r="H21" s="12" t="s">
        <v>21</v>
      </c>
      <c r="I21" s="4">
        <v>60.6219</v>
      </c>
      <c r="J21" s="4">
        <v>61.684</v>
      </c>
      <c r="K21" s="4">
        <v>-9.4079</v>
      </c>
      <c r="L21" s="4">
        <v>2.258</v>
      </c>
      <c r="M21" s="16" t="s">
        <v>51</v>
      </c>
      <c r="N21" s="4">
        <v>58.1156</v>
      </c>
      <c r="O21" s="4">
        <v>61.824</v>
      </c>
      <c r="P21" s="4">
        <v>-9.2679</v>
      </c>
      <c r="Q21" s="4">
        <v>6.621</v>
      </c>
      <c r="R21" s="1">
        <v>4.0469</v>
      </c>
      <c r="S21" s="2">
        <f t="shared" ref="S21:S31" si="2">Q21-R21</f>
        <v>2.5741</v>
      </c>
      <c r="T21" s="7">
        <v>2304.0</v>
      </c>
      <c r="U21" s="1">
        <v>60.5812</v>
      </c>
      <c r="V21" s="1">
        <v>71.108</v>
      </c>
      <c r="W21" s="1">
        <v>0.016</v>
      </c>
      <c r="X21" s="1">
        <v>1.8212</v>
      </c>
      <c r="Y21" s="1">
        <f t="shared" si="1"/>
        <v>1.875</v>
      </c>
    </row>
    <row r="22">
      <c r="A22" s="12" t="s">
        <v>35</v>
      </c>
      <c r="B22" s="1">
        <v>50.725</v>
      </c>
      <c r="C22" s="2"/>
      <c r="H22" s="12" t="s">
        <v>24</v>
      </c>
      <c r="I22" s="4">
        <v>60.325</v>
      </c>
      <c r="J22" s="4">
        <v>59.9389</v>
      </c>
      <c r="K22" s="4">
        <v>-11.1531</v>
      </c>
      <c r="L22" s="4">
        <v>2.5346</v>
      </c>
      <c r="M22" s="16" t="s">
        <v>52</v>
      </c>
      <c r="N22" s="1">
        <v>58.2031</v>
      </c>
      <c r="O22" s="1">
        <v>61.9256</v>
      </c>
      <c r="P22" s="1">
        <v>-9.1664</v>
      </c>
      <c r="Q22" s="1">
        <v>6.5214</v>
      </c>
      <c r="R22" s="1">
        <v>3.9826</v>
      </c>
      <c r="S22" s="2">
        <f t="shared" si="2"/>
        <v>2.5388</v>
      </c>
      <c r="T22" s="7">
        <v>2432.0</v>
      </c>
      <c r="U22" s="1">
        <v>60.7437</v>
      </c>
      <c r="V22" s="1">
        <v>71.0726</v>
      </c>
      <c r="W22" s="1">
        <v>-0.0193</v>
      </c>
      <c r="X22" s="1">
        <v>1.7632</v>
      </c>
      <c r="Y22" s="1">
        <f t="shared" si="1"/>
        <v>1.824990988</v>
      </c>
    </row>
    <row r="23">
      <c r="A23" s="12" t="s">
        <v>38</v>
      </c>
      <c r="B23" s="1">
        <v>46.1313</v>
      </c>
      <c r="C23" s="2"/>
      <c r="H23" s="12" t="s">
        <v>27</v>
      </c>
      <c r="I23" s="4">
        <v>60.1125</v>
      </c>
      <c r="J23" s="4">
        <v>57.436</v>
      </c>
      <c r="K23" s="4">
        <v>-13.6559</v>
      </c>
      <c r="L23" s="4">
        <v>2.9132</v>
      </c>
      <c r="M23" s="16" t="s">
        <v>53</v>
      </c>
      <c r="N23" s="1">
        <v>58.325</v>
      </c>
      <c r="O23" s="1">
        <v>62.0942</v>
      </c>
      <c r="P23" s="1">
        <v>-8.9978</v>
      </c>
      <c r="Q23" s="1">
        <v>6.369</v>
      </c>
      <c r="R23" s="1">
        <v>3.8883</v>
      </c>
      <c r="S23" s="2">
        <f t="shared" si="2"/>
        <v>2.4807</v>
      </c>
      <c r="T23" s="7">
        <v>2560.0</v>
      </c>
      <c r="U23" s="1">
        <v>60.8125</v>
      </c>
      <c r="V23" s="1">
        <v>71.1011</v>
      </c>
      <c r="W23" s="1">
        <v>0.0092</v>
      </c>
      <c r="X23" s="1">
        <v>1.7225</v>
      </c>
      <c r="Y23" s="1">
        <f t="shared" si="1"/>
        <v>1.778781184</v>
      </c>
    </row>
    <row r="24">
      <c r="A24" s="12" t="s">
        <v>41</v>
      </c>
      <c r="B24" s="1">
        <v>42.0406</v>
      </c>
      <c r="C24" s="2"/>
      <c r="H24" s="12" t="s">
        <v>30</v>
      </c>
      <c r="I24" s="4">
        <v>59.7344</v>
      </c>
      <c r="J24" s="4">
        <v>53.5953</v>
      </c>
      <c r="K24" s="4">
        <v>-17.4967</v>
      </c>
      <c r="L24" s="4">
        <v>3.4752</v>
      </c>
      <c r="M24" s="16" t="s">
        <v>54</v>
      </c>
      <c r="N24" s="1">
        <v>58.6313</v>
      </c>
      <c r="O24" s="1">
        <v>62.3749</v>
      </c>
      <c r="P24" s="1">
        <v>-8.7171</v>
      </c>
      <c r="Q24" s="1">
        <v>6.1364</v>
      </c>
      <c r="R24" s="1">
        <v>3.7513</v>
      </c>
      <c r="S24" s="2">
        <f t="shared" si="2"/>
        <v>2.3851</v>
      </c>
      <c r="T24" s="7">
        <v>2688.0</v>
      </c>
      <c r="U24" s="1">
        <v>60.8469</v>
      </c>
      <c r="V24" s="1">
        <v>71.0909</v>
      </c>
      <c r="W24" s="1">
        <v>-0.0011</v>
      </c>
      <c r="X24" s="1">
        <v>1.6738</v>
      </c>
      <c r="Y24" s="1">
        <f t="shared" si="1"/>
        <v>1.735912687</v>
      </c>
    </row>
    <row r="25">
      <c r="A25" s="12" t="s">
        <v>43</v>
      </c>
      <c r="B25" s="1">
        <v>38.5375</v>
      </c>
      <c r="C25" s="2"/>
      <c r="H25" s="12" t="s">
        <v>33</v>
      </c>
      <c r="I25" s="4">
        <v>58.6094</v>
      </c>
      <c r="J25" s="4">
        <v>47.0447</v>
      </c>
      <c r="K25" s="4">
        <v>-24.0473</v>
      </c>
      <c r="L25" s="4">
        <v>4.3301</v>
      </c>
      <c r="M25" s="16" t="s">
        <v>55</v>
      </c>
      <c r="N25" s="1">
        <v>58.8</v>
      </c>
      <c r="O25" s="1">
        <v>62.844</v>
      </c>
      <c r="P25" s="1">
        <v>-8.248</v>
      </c>
      <c r="Q25" s="1">
        <v>5.782</v>
      </c>
      <c r="R25" s="1">
        <v>3.5546</v>
      </c>
      <c r="S25" s="2">
        <f t="shared" si="2"/>
        <v>2.2274</v>
      </c>
      <c r="T25" s="7">
        <v>2816.0</v>
      </c>
      <c r="U25" s="1">
        <v>60.7062</v>
      </c>
      <c r="V25" s="1">
        <v>71.0911</v>
      </c>
      <c r="W25" s="1">
        <v>-9.0E-4</v>
      </c>
      <c r="X25" s="1">
        <v>1.6441</v>
      </c>
      <c r="Y25" s="1">
        <f t="shared" si="1"/>
        <v>1.696001313</v>
      </c>
    </row>
    <row r="26">
      <c r="A26" s="15" t="s">
        <v>50</v>
      </c>
      <c r="B26" s="1"/>
      <c r="C26" s="2"/>
      <c r="H26" s="12" t="s">
        <v>36</v>
      </c>
      <c r="I26" s="4">
        <v>39.2031</v>
      </c>
      <c r="J26" s="4">
        <v>32.4293</v>
      </c>
      <c r="K26" s="4">
        <v>-38.6627</v>
      </c>
      <c r="L26" s="4">
        <v>7.2969</v>
      </c>
      <c r="M26" s="16" t="s">
        <v>56</v>
      </c>
      <c r="N26" s="4">
        <v>59.0094</v>
      </c>
      <c r="O26" s="4">
        <v>63.6299</v>
      </c>
      <c r="P26" s="4">
        <v>-7.4621</v>
      </c>
      <c r="Q26" s="4">
        <v>5.2421</v>
      </c>
      <c r="R26" s="1">
        <v>3.2814</v>
      </c>
      <c r="S26" s="2">
        <f t="shared" si="2"/>
        <v>1.9607</v>
      </c>
      <c r="T26" s="7">
        <v>2944.0</v>
      </c>
      <c r="U26" s="1">
        <v>60.7656</v>
      </c>
      <c r="V26" s="1">
        <v>71.1078</v>
      </c>
      <c r="W26" s="1">
        <v>0.0158</v>
      </c>
      <c r="X26" s="1">
        <v>1.6103</v>
      </c>
      <c r="Y26" s="1">
        <f t="shared" si="1"/>
        <v>1.658722007</v>
      </c>
    </row>
    <row r="27">
      <c r="A27" s="16" t="s">
        <v>17</v>
      </c>
      <c r="B27" s="1">
        <v>39.2031</v>
      </c>
      <c r="C27" s="1"/>
      <c r="H27" s="12" t="s">
        <v>39</v>
      </c>
      <c r="I27" s="4">
        <v>59.9813</v>
      </c>
      <c r="J27" s="4">
        <v>82.8257</v>
      </c>
      <c r="K27" s="4">
        <v>11.7337</v>
      </c>
      <c r="L27" s="4">
        <v>3.0665</v>
      </c>
      <c r="M27" s="16" t="s">
        <v>57</v>
      </c>
      <c r="N27" s="1">
        <v>59.35</v>
      </c>
      <c r="O27" s="1">
        <v>64.9528</v>
      </c>
      <c r="P27" s="1">
        <v>-6.1392</v>
      </c>
      <c r="Q27" s="1">
        <v>4.4285</v>
      </c>
      <c r="R27" s="1">
        <v>2.9304</v>
      </c>
      <c r="S27" s="2">
        <f t="shared" si="2"/>
        <v>1.4981</v>
      </c>
      <c r="T27" s="7">
        <v>3072.0</v>
      </c>
      <c r="U27" s="1">
        <v>60.8375</v>
      </c>
      <c r="V27" s="1">
        <v>71.0838</v>
      </c>
      <c r="W27" s="1">
        <v>-0.0082</v>
      </c>
      <c r="X27" s="1">
        <v>1.5767</v>
      </c>
      <c r="Y27" s="1">
        <f t="shared" si="1"/>
        <v>1.623797632</v>
      </c>
    </row>
    <row r="28">
      <c r="A28" s="16" t="s">
        <v>20</v>
      </c>
      <c r="B28" s="1">
        <v>51.4281</v>
      </c>
      <c r="C28" s="2"/>
      <c r="H28" s="12" t="s">
        <v>42</v>
      </c>
      <c r="I28" s="4">
        <v>59.6125</v>
      </c>
      <c r="J28" s="4">
        <v>84.5531</v>
      </c>
      <c r="K28" s="4">
        <v>13.4611</v>
      </c>
      <c r="L28" s="4">
        <v>3.2295</v>
      </c>
      <c r="M28" s="16" t="s">
        <v>58</v>
      </c>
      <c r="N28" s="1">
        <v>59.8813</v>
      </c>
      <c r="O28" s="1">
        <v>67.1853</v>
      </c>
      <c r="P28" s="1">
        <v>-3.9067</v>
      </c>
      <c r="Q28" s="1">
        <v>3.2858</v>
      </c>
      <c r="R28" s="1">
        <v>2.6175</v>
      </c>
      <c r="S28" s="2">
        <f t="shared" si="2"/>
        <v>0.6683</v>
      </c>
      <c r="T28" s="7">
        <v>3200.0</v>
      </c>
      <c r="U28" s="1">
        <v>60.6812</v>
      </c>
      <c r="V28" s="1">
        <v>71.0912</v>
      </c>
      <c r="W28" s="1">
        <v>-8.0E-4</v>
      </c>
      <c r="X28" s="1">
        <v>1.5392</v>
      </c>
      <c r="Y28" s="1">
        <f t="shared" si="1"/>
        <v>1.590990258</v>
      </c>
    </row>
    <row r="29">
      <c r="A29" s="16" t="s">
        <v>23</v>
      </c>
      <c r="B29" s="1">
        <v>43.9312</v>
      </c>
      <c r="C29" s="2"/>
      <c r="H29" s="12" t="s">
        <v>44</v>
      </c>
      <c r="I29" s="4">
        <v>59.0906</v>
      </c>
      <c r="J29" s="4">
        <v>86.9091</v>
      </c>
      <c r="K29" s="4">
        <v>15.8171</v>
      </c>
      <c r="L29" s="4">
        <v>3.4543</v>
      </c>
      <c r="M29" s="16" t="s">
        <v>59</v>
      </c>
      <c r="N29" s="1">
        <v>60.45</v>
      </c>
      <c r="O29" s="1">
        <v>70.9141</v>
      </c>
      <c r="P29" s="1">
        <v>-0.1779</v>
      </c>
      <c r="Q29" s="1">
        <v>2.495</v>
      </c>
      <c r="R29" s="1">
        <v>2.9358</v>
      </c>
      <c r="S29" s="2">
        <f t="shared" si="2"/>
        <v>-0.4408</v>
      </c>
      <c r="T29" s="7">
        <v>3328.0</v>
      </c>
      <c r="U29" s="1">
        <v>60.7594</v>
      </c>
      <c r="V29" s="1">
        <v>71.1029</v>
      </c>
      <c r="W29" s="1">
        <v>0.0109</v>
      </c>
      <c r="X29" s="1">
        <v>1.5055</v>
      </c>
      <c r="Y29" s="1">
        <f t="shared" si="1"/>
        <v>1.560094302</v>
      </c>
    </row>
    <row r="30">
      <c r="A30" s="16" t="s">
        <v>26</v>
      </c>
      <c r="B30" s="1">
        <v>37.8844</v>
      </c>
      <c r="C30" s="2"/>
      <c r="H30" s="12" t="s">
        <v>45</v>
      </c>
      <c r="I30" s="4">
        <v>58.4281</v>
      </c>
      <c r="J30" s="4">
        <v>90.2009</v>
      </c>
      <c r="K30" s="4">
        <v>19.1089</v>
      </c>
      <c r="L30" s="4">
        <v>3.7532</v>
      </c>
      <c r="M30" s="16" t="s">
        <v>60</v>
      </c>
      <c r="N30" s="1">
        <v>60.675</v>
      </c>
      <c r="O30" s="1">
        <v>76.7633</v>
      </c>
      <c r="P30" s="1">
        <v>5.6713</v>
      </c>
      <c r="Q30" s="1">
        <v>4.6193</v>
      </c>
      <c r="R30" s="1">
        <v>4.6149</v>
      </c>
      <c r="S30" s="2">
        <f t="shared" si="2"/>
        <v>0.0044</v>
      </c>
      <c r="T30" s="7">
        <v>3456.0</v>
      </c>
      <c r="U30" s="1">
        <v>60.8469</v>
      </c>
      <c r="V30" s="1">
        <v>71.0749</v>
      </c>
      <c r="W30" s="1">
        <v>-0.0171</v>
      </c>
      <c r="X30" s="1">
        <v>1.4851</v>
      </c>
      <c r="Y30" s="1">
        <f t="shared" si="1"/>
        <v>1.530931089</v>
      </c>
    </row>
    <row r="31">
      <c r="A31" s="16" t="s">
        <v>29</v>
      </c>
      <c r="B31" s="1">
        <v>33.5219</v>
      </c>
      <c r="C31" s="2"/>
      <c r="H31" s="12" t="s">
        <v>46</v>
      </c>
      <c r="I31" s="4">
        <v>57.5406</v>
      </c>
      <c r="J31" s="4">
        <v>95.1754</v>
      </c>
      <c r="K31" s="4">
        <v>24.0834</v>
      </c>
      <c r="L31" s="4">
        <v>4.1754</v>
      </c>
      <c r="M31" s="16" t="s">
        <v>61</v>
      </c>
      <c r="N31" s="1">
        <v>60.3656</v>
      </c>
      <c r="O31" s="1">
        <v>84.0882</v>
      </c>
      <c r="P31" s="1">
        <v>12.9962</v>
      </c>
      <c r="Q31" s="1">
        <v>8.4713</v>
      </c>
      <c r="R31" s="1">
        <v>6.6813</v>
      </c>
      <c r="S31" s="2">
        <f t="shared" si="2"/>
        <v>1.79</v>
      </c>
      <c r="T31" s="7">
        <v>3584.0</v>
      </c>
      <c r="U31" s="1">
        <v>60.8344</v>
      </c>
      <c r="V31" s="1">
        <v>71.0648</v>
      </c>
      <c r="W31" s="1">
        <v>-0.0271</v>
      </c>
      <c r="X31" s="1">
        <v>1.4561</v>
      </c>
      <c r="Y31" s="1">
        <f t="shared" si="1"/>
        <v>1.503344486</v>
      </c>
    </row>
    <row r="32">
      <c r="A32" s="16" t="s">
        <v>32</v>
      </c>
      <c r="B32" s="1">
        <v>53.5625</v>
      </c>
      <c r="C32" s="2"/>
      <c r="H32" s="12" t="s">
        <v>47</v>
      </c>
      <c r="I32" s="4">
        <v>56.3844</v>
      </c>
      <c r="J32" s="4">
        <v>103.7167</v>
      </c>
      <c r="K32" s="4">
        <v>32.6247</v>
      </c>
      <c r="L32" s="4">
        <v>4.7884</v>
      </c>
      <c r="T32" s="7">
        <v>3712.0</v>
      </c>
      <c r="U32" s="1">
        <v>60.9156</v>
      </c>
      <c r="V32" s="1">
        <v>71.1016</v>
      </c>
      <c r="W32" s="1">
        <v>0.0096</v>
      </c>
      <c r="X32" s="1">
        <v>1.4323</v>
      </c>
      <c r="Y32" s="1">
        <f t="shared" si="1"/>
        <v>1.47719737</v>
      </c>
    </row>
    <row r="33">
      <c r="A33" s="16" t="s">
        <v>35</v>
      </c>
      <c r="B33" s="1">
        <v>50.725</v>
      </c>
      <c r="C33" s="2"/>
      <c r="H33" s="12" t="s">
        <v>48</v>
      </c>
      <c r="I33" s="4">
        <v>53.5625</v>
      </c>
      <c r="J33" s="4">
        <v>122.4866</v>
      </c>
      <c r="K33" s="4">
        <v>51.3946</v>
      </c>
      <c r="L33" s="4">
        <v>7.0966</v>
      </c>
      <c r="T33" s="7">
        <v>3840.0</v>
      </c>
      <c r="U33" s="1">
        <v>60.7906</v>
      </c>
      <c r="V33" s="1">
        <v>71.0948</v>
      </c>
      <c r="W33" s="1">
        <v>0.0028</v>
      </c>
      <c r="X33" s="1">
        <v>1.4074</v>
      </c>
      <c r="Y33" s="1">
        <f t="shared" si="1"/>
        <v>1.452368755</v>
      </c>
    </row>
    <row r="34">
      <c r="A34" s="16" t="s">
        <v>38</v>
      </c>
      <c r="B34" s="1">
        <v>46.1313</v>
      </c>
      <c r="C34" s="2"/>
      <c r="H34" s="15" t="s">
        <v>50</v>
      </c>
      <c r="T34" s="7">
        <v>3968.0</v>
      </c>
      <c r="U34" s="1">
        <v>60.8563</v>
      </c>
      <c r="V34" s="1">
        <v>71.0817</v>
      </c>
      <c r="W34" s="1">
        <v>-0.0103</v>
      </c>
      <c r="X34" s="1">
        <v>1.3828</v>
      </c>
      <c r="Y34" s="1">
        <f t="shared" si="1"/>
        <v>1.428751429</v>
      </c>
    </row>
    <row r="35">
      <c r="A35" s="16" t="s">
        <v>41</v>
      </c>
      <c r="B35" s="1">
        <v>42.0406</v>
      </c>
      <c r="C35" s="2"/>
      <c r="H35" s="16" t="s">
        <v>62</v>
      </c>
      <c r="I35" s="4">
        <v>57.1906</v>
      </c>
      <c r="J35" s="4">
        <v>33.1733</v>
      </c>
      <c r="K35" s="4">
        <v>-37.9187</v>
      </c>
      <c r="L35" s="4">
        <v>5.9473</v>
      </c>
      <c r="T35" s="7">
        <v>4096.0</v>
      </c>
      <c r="U35" s="1">
        <v>60.8813</v>
      </c>
      <c r="V35" s="1">
        <v>71.0746</v>
      </c>
      <c r="W35" s="1">
        <v>-0.0174</v>
      </c>
      <c r="X35" s="1">
        <v>1.3598</v>
      </c>
      <c r="Y35" s="1">
        <f t="shared" si="1"/>
        <v>1.40625</v>
      </c>
    </row>
    <row r="36">
      <c r="A36" s="16" t="s">
        <v>43</v>
      </c>
      <c r="B36" s="1">
        <v>38.5375</v>
      </c>
      <c r="C36" s="2"/>
      <c r="H36" s="16" t="s">
        <v>63</v>
      </c>
      <c r="I36" s="1">
        <v>57.275</v>
      </c>
      <c r="J36" s="1">
        <v>33.3138</v>
      </c>
      <c r="K36" s="1">
        <v>-37.7782</v>
      </c>
      <c r="L36" s="1">
        <v>5.9308</v>
      </c>
      <c r="T36" s="7">
        <v>4224.0</v>
      </c>
      <c r="U36" s="1">
        <v>61.0375</v>
      </c>
      <c r="V36" s="1">
        <v>71.0869</v>
      </c>
      <c r="W36" s="1">
        <v>-0.0051</v>
      </c>
      <c r="X36" s="1">
        <v>1.3426</v>
      </c>
      <c r="Y36" s="1">
        <f t="shared" si="1"/>
        <v>1.384779274</v>
      </c>
    </row>
    <row r="37">
      <c r="H37" s="16" t="s">
        <v>64</v>
      </c>
      <c r="I37" s="1">
        <v>57.4188</v>
      </c>
      <c r="J37" s="1">
        <v>33.5478</v>
      </c>
      <c r="K37" s="1">
        <v>-37.5442</v>
      </c>
      <c r="L37" s="1">
        <v>5.9082</v>
      </c>
      <c r="T37" s="7">
        <v>4352.0</v>
      </c>
      <c r="U37" s="1">
        <v>61.0406</v>
      </c>
      <c r="V37" s="1">
        <v>71.1052</v>
      </c>
      <c r="W37" s="1">
        <v>0.0133</v>
      </c>
      <c r="X37" s="1">
        <v>1.3225</v>
      </c>
      <c r="Y37" s="1">
        <f t="shared" si="1"/>
        <v>1.364262891</v>
      </c>
    </row>
    <row r="38">
      <c r="H38" s="16" t="s">
        <v>65</v>
      </c>
      <c r="I38" s="1">
        <v>57.6</v>
      </c>
      <c r="J38" s="1">
        <v>33.9394</v>
      </c>
      <c r="K38" s="1">
        <v>-37.1526</v>
      </c>
      <c r="L38" s="1">
        <v>5.8788</v>
      </c>
      <c r="T38" s="7">
        <v>4480.0</v>
      </c>
      <c r="U38" s="1">
        <v>60.8719</v>
      </c>
      <c r="V38" s="1">
        <v>71.0969</v>
      </c>
      <c r="W38" s="1">
        <v>0.0049</v>
      </c>
      <c r="X38" s="1">
        <v>1.303</v>
      </c>
      <c r="Y38" s="1">
        <f t="shared" si="1"/>
        <v>1.344632186</v>
      </c>
    </row>
    <row r="39">
      <c r="H39" s="16" t="s">
        <v>66</v>
      </c>
      <c r="I39" s="1">
        <v>57.8687</v>
      </c>
      <c r="J39" s="1">
        <v>34.5995</v>
      </c>
      <c r="K39" s="1">
        <v>-36.4925</v>
      </c>
      <c r="L39" s="1">
        <v>5.8435</v>
      </c>
      <c r="T39" s="7">
        <v>4608.0</v>
      </c>
      <c r="U39" s="1">
        <v>60.9781</v>
      </c>
      <c r="V39" s="1">
        <v>71.0825</v>
      </c>
      <c r="W39" s="1">
        <v>-0.0095</v>
      </c>
      <c r="X39" s="1">
        <v>1.2891</v>
      </c>
      <c r="Y39" s="1">
        <f t="shared" si="1"/>
        <v>1.325825215</v>
      </c>
    </row>
    <row r="40">
      <c r="H40" s="16" t="s">
        <v>67</v>
      </c>
      <c r="I40" s="4">
        <v>58.2313</v>
      </c>
      <c r="J40" s="4">
        <v>35.7247</v>
      </c>
      <c r="K40" s="4">
        <v>-35.3672</v>
      </c>
      <c r="L40" s="4">
        <v>5.8098</v>
      </c>
      <c r="T40" s="7">
        <v>4736.0</v>
      </c>
      <c r="U40" s="1">
        <v>60.7469</v>
      </c>
      <c r="V40" s="1">
        <v>71.1005</v>
      </c>
      <c r="W40" s="1">
        <v>0.0085</v>
      </c>
      <c r="X40" s="1">
        <v>1.2695</v>
      </c>
      <c r="Y40" s="1">
        <f t="shared" si="1"/>
        <v>1.307785936</v>
      </c>
    </row>
    <row r="41">
      <c r="H41" s="16" t="s">
        <v>68</v>
      </c>
      <c r="I41" s="1">
        <v>58.8438</v>
      </c>
      <c r="J41" s="1">
        <v>37.6821</v>
      </c>
      <c r="K41" s="1">
        <v>-33.4099</v>
      </c>
      <c r="L41" s="1">
        <v>5.8019</v>
      </c>
      <c r="T41" s="7">
        <v>4864.0</v>
      </c>
      <c r="U41" s="1">
        <v>61.0</v>
      </c>
      <c r="V41" s="1">
        <v>71.1051</v>
      </c>
      <c r="W41" s="1">
        <v>0.0132</v>
      </c>
      <c r="X41" s="1">
        <v>1.2523</v>
      </c>
      <c r="Y41" s="1">
        <f t="shared" si="1"/>
        <v>1.290463503</v>
      </c>
    </row>
    <row r="42">
      <c r="H42" s="16" t="s">
        <v>69</v>
      </c>
      <c r="I42" s="1">
        <v>59.4469</v>
      </c>
      <c r="J42" s="1">
        <v>41.203</v>
      </c>
      <c r="K42" s="1">
        <v>-29.889</v>
      </c>
      <c r="L42" s="1">
        <v>5.8895</v>
      </c>
      <c r="T42" s="7">
        <v>4992.0</v>
      </c>
      <c r="U42" s="1">
        <v>60.9906</v>
      </c>
      <c r="V42" s="1">
        <v>71.1034</v>
      </c>
      <c r="W42" s="1">
        <v>0.0114</v>
      </c>
      <c r="X42" s="1">
        <v>1.2353</v>
      </c>
      <c r="Y42" s="1">
        <f t="shared" si="1"/>
        <v>1.273811663</v>
      </c>
    </row>
    <row r="43">
      <c r="H43" s="16" t="s">
        <v>70</v>
      </c>
      <c r="I43" s="1">
        <v>60.0312</v>
      </c>
      <c r="J43" s="1">
        <v>47.8964</v>
      </c>
      <c r="K43" s="1">
        <v>-23.1956</v>
      </c>
      <c r="L43" s="1">
        <v>6.2576</v>
      </c>
      <c r="T43" s="7">
        <v>5120.0</v>
      </c>
      <c r="U43" s="1">
        <v>61.125</v>
      </c>
      <c r="V43" s="1">
        <v>71.1054</v>
      </c>
      <c r="W43" s="1">
        <v>0.0134</v>
      </c>
      <c r="X43" s="1">
        <v>1.2182</v>
      </c>
      <c r="Y43" s="1">
        <f t="shared" si="1"/>
        <v>1.257788237</v>
      </c>
    </row>
    <row r="44">
      <c r="H44" s="16" t="s">
        <v>71</v>
      </c>
      <c r="I44" s="1">
        <v>59.9906</v>
      </c>
      <c r="J44" s="1">
        <v>61.7456</v>
      </c>
      <c r="K44" s="1">
        <v>-9.3464</v>
      </c>
      <c r="L44" s="1">
        <v>7.2792</v>
      </c>
    </row>
    <row r="45">
      <c r="H45" s="16" t="s">
        <v>72</v>
      </c>
      <c r="I45" s="1">
        <v>55.5281</v>
      </c>
      <c r="J45" s="1">
        <v>94.5126</v>
      </c>
      <c r="K45" s="1">
        <v>23.4206</v>
      </c>
      <c r="L45" s="1">
        <v>9.1105</v>
      </c>
    </row>
    <row r="46">
      <c r="H46" s="16" t="s">
        <v>73</v>
      </c>
      <c r="I46" s="4">
        <v>53.6844</v>
      </c>
      <c r="J46" s="4">
        <v>121.9969</v>
      </c>
      <c r="K46" s="4">
        <v>50.9049</v>
      </c>
      <c r="L46" s="4">
        <v>5.6317</v>
      </c>
    </row>
    <row r="47">
      <c r="H47" s="16" t="s">
        <v>74</v>
      </c>
      <c r="I47" s="1">
        <v>53.8062</v>
      </c>
      <c r="J47" s="1">
        <v>121.8773</v>
      </c>
      <c r="K47" s="1">
        <v>50.7854</v>
      </c>
      <c r="L47" s="1">
        <v>5.6007</v>
      </c>
    </row>
    <row r="48">
      <c r="H48" s="16" t="s">
        <v>75</v>
      </c>
      <c r="I48" s="1">
        <v>53.925</v>
      </c>
      <c r="J48" s="1">
        <v>121.6784</v>
      </c>
      <c r="K48" s="1">
        <v>50.5864</v>
      </c>
      <c r="L48" s="1">
        <v>5.5568</v>
      </c>
    </row>
    <row r="49">
      <c r="H49" s="16" t="s">
        <v>76</v>
      </c>
      <c r="I49" s="1">
        <v>54.1094</v>
      </c>
      <c r="J49" s="1">
        <v>121.3465</v>
      </c>
      <c r="K49" s="1">
        <v>50.2545</v>
      </c>
      <c r="L49" s="1">
        <v>5.4966</v>
      </c>
    </row>
    <row r="50">
      <c r="H50" s="16" t="s">
        <v>77</v>
      </c>
      <c r="I50" s="1">
        <v>54.4937</v>
      </c>
      <c r="J50" s="1">
        <v>120.7905</v>
      </c>
      <c r="K50" s="1">
        <v>49.6985</v>
      </c>
      <c r="L50" s="1">
        <v>5.4175</v>
      </c>
    </row>
    <row r="51">
      <c r="H51" s="16" t="s">
        <v>78</v>
      </c>
      <c r="I51" s="4">
        <v>54.9562</v>
      </c>
      <c r="J51" s="4">
        <v>119.8517</v>
      </c>
      <c r="K51" s="4">
        <v>48.7597</v>
      </c>
      <c r="L51" s="4">
        <v>5.3198</v>
      </c>
    </row>
    <row r="52">
      <c r="H52" s="16" t="s">
        <v>79</v>
      </c>
      <c r="I52" s="1">
        <v>55.7781</v>
      </c>
      <c r="J52" s="1">
        <v>118.241</v>
      </c>
      <c r="K52" s="1">
        <v>47.149</v>
      </c>
      <c r="L52" s="1">
        <v>5.2147</v>
      </c>
    </row>
    <row r="53">
      <c r="H53" s="16" t="s">
        <v>80</v>
      </c>
      <c r="I53" s="1">
        <v>56.8125</v>
      </c>
      <c r="J53" s="1">
        <v>115.3919</v>
      </c>
      <c r="K53" s="1">
        <v>44.3</v>
      </c>
      <c r="L53" s="1">
        <v>5.135</v>
      </c>
    </row>
    <row r="54">
      <c r="H54" s="16" t="s">
        <v>81</v>
      </c>
      <c r="I54" s="1">
        <v>58.175</v>
      </c>
      <c r="J54" s="1">
        <v>110.0532</v>
      </c>
      <c r="K54" s="1">
        <v>38.9612</v>
      </c>
      <c r="L54" s="1">
        <v>5.16</v>
      </c>
    </row>
    <row r="55">
      <c r="H55" s="16" t="s">
        <v>82</v>
      </c>
      <c r="I55" s="1">
        <v>59.3156</v>
      </c>
      <c r="J55" s="1">
        <v>98.946</v>
      </c>
      <c r="K55" s="1">
        <v>27.854</v>
      </c>
      <c r="L55" s="1">
        <v>5.4358</v>
      </c>
    </row>
    <row r="56">
      <c r="H56" s="16" t="s">
        <v>83</v>
      </c>
      <c r="I56" s="1">
        <v>59.7031</v>
      </c>
      <c r="J56" s="1">
        <v>70.6738</v>
      </c>
      <c r="K56" s="1">
        <v>-0.4182</v>
      </c>
      <c r="L56" s="1">
        <v>5.86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84</v>
      </c>
      <c r="C3" s="1" t="s">
        <v>85</v>
      </c>
      <c r="D3" s="1" t="s">
        <v>86</v>
      </c>
      <c r="E3" s="1" t="s">
        <v>87</v>
      </c>
      <c r="F3" s="1" t="s">
        <v>88</v>
      </c>
      <c r="I3" s="17" t="s">
        <v>89</v>
      </c>
    </row>
    <row r="4">
      <c r="A4" s="17" t="s">
        <v>90</v>
      </c>
      <c r="B4" s="4">
        <v>0.963853999999952</v>
      </c>
      <c r="C4" s="4">
        <v>0.973584999999954</v>
      </c>
      <c r="D4" s="4">
        <v>0.981447999999948</v>
      </c>
      <c r="E4" s="4">
        <v>0.988459999999949</v>
      </c>
      <c r="F4" s="4">
        <v>0.996135999999972</v>
      </c>
      <c r="I4" s="17" t="s">
        <v>91</v>
      </c>
    </row>
    <row r="5">
      <c r="A5" s="17" t="s">
        <v>92</v>
      </c>
      <c r="B5" s="1">
        <v>0.934916999999954</v>
      </c>
      <c r="C5" s="1">
        <v>0.946317999999958</v>
      </c>
      <c r="D5" s="1">
        <v>0.956366999999954</v>
      </c>
      <c r="E5" s="1">
        <v>0.960176999999961</v>
      </c>
      <c r="F5" s="1">
        <v>0.984848999999951</v>
      </c>
      <c r="I5" s="1" t="s">
        <v>93</v>
      </c>
      <c r="J5" s="1" t="s">
        <v>94</v>
      </c>
      <c r="K5" s="1" t="s">
        <v>95</v>
      </c>
      <c r="L5" s="1" t="s">
        <v>96</v>
      </c>
      <c r="M5" s="1" t="s">
        <v>97</v>
      </c>
      <c r="N5" s="1" t="s">
        <v>98</v>
      </c>
    </row>
    <row r="6">
      <c r="A6" s="17" t="s">
        <v>99</v>
      </c>
      <c r="B6" s="18">
        <v>0.782358999999989</v>
      </c>
      <c r="C6" s="18">
        <v>0.835128999999987</v>
      </c>
      <c r="D6" s="18">
        <v>0.877955999999977</v>
      </c>
      <c r="E6" s="18">
        <v>0.913889999999969</v>
      </c>
      <c r="F6" s="18">
        <v>0.960506999999964</v>
      </c>
      <c r="H6" s="1"/>
      <c r="I6" s="1" t="s">
        <v>100</v>
      </c>
      <c r="J6" s="19">
        <v>0.84</v>
      </c>
      <c r="K6" s="19">
        <v>0.96</v>
      </c>
      <c r="L6" s="19">
        <v>0.96</v>
      </c>
      <c r="M6" s="19">
        <v>1.0</v>
      </c>
      <c r="N6" s="19">
        <v>1.0</v>
      </c>
    </row>
    <row r="7">
      <c r="I7" s="1" t="s">
        <v>101</v>
      </c>
      <c r="J7" s="19">
        <v>0.78</v>
      </c>
      <c r="K7" s="19">
        <v>0.94</v>
      </c>
      <c r="L7" s="19">
        <v>0.94</v>
      </c>
      <c r="M7" s="19">
        <v>0.96</v>
      </c>
      <c r="N7" s="19">
        <v>1.0</v>
      </c>
    </row>
    <row r="8">
      <c r="H8" s="1">
        <v>1.0</v>
      </c>
      <c r="I8" s="1" t="s">
        <v>101</v>
      </c>
      <c r="J8" s="19">
        <v>0.7</v>
      </c>
      <c r="K8" s="19">
        <v>0.76</v>
      </c>
      <c r="L8" s="19">
        <v>0.86</v>
      </c>
      <c r="M8" s="19">
        <v>0.9</v>
      </c>
      <c r="N8" s="19">
        <v>0.96</v>
      </c>
    </row>
    <row r="9">
      <c r="A9" s="17" t="s">
        <v>89</v>
      </c>
      <c r="H9" s="1">
        <v>4.0</v>
      </c>
      <c r="I9" s="1" t="s">
        <v>101</v>
      </c>
      <c r="J9" s="19">
        <v>0.76</v>
      </c>
      <c r="K9" s="19">
        <v>0.86</v>
      </c>
      <c r="L9" s="19">
        <v>0.9</v>
      </c>
      <c r="M9" s="19">
        <v>0.96</v>
      </c>
      <c r="N9" s="19">
        <v>0.98</v>
      </c>
    </row>
    <row r="10">
      <c r="A10" s="17" t="s">
        <v>91</v>
      </c>
      <c r="H10" s="1">
        <v>5.0</v>
      </c>
      <c r="I10" s="1" t="s">
        <v>100</v>
      </c>
    </row>
    <row r="11">
      <c r="A11" s="1" t="s">
        <v>93</v>
      </c>
      <c r="B11" s="1" t="s">
        <v>94</v>
      </c>
      <c r="C11" s="1" t="s">
        <v>95</v>
      </c>
      <c r="D11" s="1" t="s">
        <v>96</v>
      </c>
      <c r="E11" s="1" t="s">
        <v>97</v>
      </c>
      <c r="F11" s="1" t="s">
        <v>98</v>
      </c>
      <c r="H11" s="1">
        <v>5.0</v>
      </c>
      <c r="I11" s="1" t="s">
        <v>101</v>
      </c>
      <c r="J11" s="19">
        <v>0.78</v>
      </c>
      <c r="K11" s="19">
        <v>0.88</v>
      </c>
      <c r="L11" s="19">
        <v>0.88</v>
      </c>
      <c r="M11" s="19">
        <v>0.92</v>
      </c>
      <c r="N11" s="19">
        <v>0.96</v>
      </c>
    </row>
    <row r="12">
      <c r="A12" s="1" t="s">
        <v>100</v>
      </c>
      <c r="B12" s="19">
        <v>0.84</v>
      </c>
      <c r="C12" s="19">
        <v>0.96</v>
      </c>
      <c r="D12" s="19">
        <v>0.96</v>
      </c>
      <c r="E12" s="19">
        <v>1.0</v>
      </c>
      <c r="F12" s="19">
        <v>1.0</v>
      </c>
      <c r="H12" s="1">
        <v>6.0</v>
      </c>
      <c r="I12" s="1" t="s">
        <v>100</v>
      </c>
    </row>
    <row r="13">
      <c r="A13" s="1" t="s">
        <v>101</v>
      </c>
      <c r="B13" s="19">
        <v>0.78</v>
      </c>
      <c r="C13" s="19">
        <v>0.94</v>
      </c>
      <c r="D13" s="19">
        <v>0.94</v>
      </c>
      <c r="E13" s="19">
        <v>0.96</v>
      </c>
      <c r="F13" s="19">
        <v>1.0</v>
      </c>
      <c r="H13" s="1">
        <v>6.0</v>
      </c>
      <c r="I13" s="1" t="s">
        <v>101</v>
      </c>
      <c r="J13" s="19">
        <v>0.78</v>
      </c>
      <c r="K13" s="19">
        <v>0.92</v>
      </c>
      <c r="L13" s="19">
        <v>0.94</v>
      </c>
      <c r="M13" s="19">
        <v>0.98</v>
      </c>
      <c r="N13" s="19">
        <v>1.0</v>
      </c>
    </row>
    <row r="14">
      <c r="A14" s="20" t="s">
        <v>102</v>
      </c>
    </row>
    <row r="16">
      <c r="A16" s="1"/>
      <c r="B16" s="1">
        <v>3.3</v>
      </c>
      <c r="C16" s="1">
        <v>3.2</v>
      </c>
      <c r="D16" s="1">
        <v>3.1</v>
      </c>
      <c r="E16" s="1">
        <v>3.0</v>
      </c>
      <c r="F16" s="18">
        <v>2.9</v>
      </c>
      <c r="G16" s="1">
        <v>2.8</v>
      </c>
      <c r="H16" s="1">
        <v>2.7</v>
      </c>
      <c r="I16" s="1">
        <v>2.6</v>
      </c>
      <c r="J16" s="1">
        <v>2.5</v>
      </c>
      <c r="K16" s="1">
        <v>2.4</v>
      </c>
      <c r="L16" s="1">
        <v>2.3</v>
      </c>
      <c r="M16" s="1">
        <v>2.2</v>
      </c>
      <c r="N16" s="1">
        <v>2.1</v>
      </c>
      <c r="O16" s="1">
        <v>2.0</v>
      </c>
    </row>
    <row r="17">
      <c r="A17" s="1">
        <v>5.0</v>
      </c>
      <c r="B17" s="1"/>
      <c r="C17" s="1"/>
      <c r="D17" s="1">
        <v>2.0</v>
      </c>
      <c r="E17" s="1">
        <v>12.0</v>
      </c>
      <c r="F17" s="18">
        <v>32.0</v>
      </c>
      <c r="G17" s="1">
        <v>26.0</v>
      </c>
      <c r="H17" s="1">
        <v>26.0</v>
      </c>
      <c r="I17" s="1">
        <v>42.0</v>
      </c>
      <c r="J17" s="1">
        <v>42.0</v>
      </c>
      <c r="K17" s="1">
        <v>0.0</v>
      </c>
    </row>
    <row r="18">
      <c r="A18" s="1">
        <v>20.0</v>
      </c>
      <c r="B18" s="2"/>
      <c r="C18" s="1"/>
      <c r="D18" s="2"/>
      <c r="E18" s="1">
        <v>26.0</v>
      </c>
      <c r="F18" s="1">
        <v>56.0</v>
      </c>
      <c r="G18" s="18">
        <v>68.0</v>
      </c>
      <c r="H18" s="1">
        <v>68.0</v>
      </c>
      <c r="I18" s="2"/>
      <c r="J18" s="2"/>
    </row>
    <row r="19">
      <c r="A19" s="1">
        <v>50.0</v>
      </c>
      <c r="B19" s="2"/>
      <c r="C19" s="2"/>
      <c r="D19" s="2"/>
      <c r="E19" s="2"/>
      <c r="F19" s="1">
        <v>72.0</v>
      </c>
      <c r="G19" s="18">
        <v>86.0</v>
      </c>
      <c r="H19" s="18">
        <v>86.0</v>
      </c>
      <c r="I19" s="1">
        <v>44.0</v>
      </c>
      <c r="J19" s="1">
        <v>44.0</v>
      </c>
    </row>
    <row r="20">
      <c r="A20" s="1">
        <v>100.0</v>
      </c>
      <c r="B20" s="2"/>
      <c r="C20" s="1"/>
      <c r="D20" s="2"/>
      <c r="E20" s="1">
        <v>48.0</v>
      </c>
      <c r="F20" s="18">
        <v>94.0</v>
      </c>
      <c r="G20" s="1">
        <v>90.0</v>
      </c>
      <c r="H20" s="1">
        <v>90.0</v>
      </c>
      <c r="I20" s="18">
        <v>90.0</v>
      </c>
      <c r="J20" s="1">
        <v>44.0</v>
      </c>
    </row>
    <row r="21">
      <c r="A21" s="1">
        <v>500.0</v>
      </c>
      <c r="B21" s="1"/>
      <c r="C21" s="1">
        <v>34.0</v>
      </c>
      <c r="D21" s="1">
        <v>94.0</v>
      </c>
      <c r="E21" s="18">
        <v>94.0</v>
      </c>
      <c r="F21" s="18">
        <v>96.0</v>
      </c>
      <c r="G21" s="1">
        <v>90.0</v>
      </c>
      <c r="H21" s="1">
        <v>90.0</v>
      </c>
      <c r="I21" s="2"/>
      <c r="J21" s="2"/>
    </row>
    <row r="22">
      <c r="A22" s="1">
        <v>1000.0</v>
      </c>
      <c r="C22" s="1">
        <v>48.0</v>
      </c>
      <c r="D22" s="18">
        <v>98.0</v>
      </c>
      <c r="E22" s="18">
        <v>98.0</v>
      </c>
      <c r="F22" s="1">
        <v>96.0</v>
      </c>
    </row>
    <row r="23">
      <c r="A23" s="1">
        <v>1200.0</v>
      </c>
      <c r="D23" s="1">
        <v>100.0</v>
      </c>
      <c r="E23" s="18">
        <v>100.0</v>
      </c>
      <c r="F23" s="1"/>
    </row>
    <row r="24">
      <c r="A24" s="1">
        <v>2000.0</v>
      </c>
      <c r="E24" s="18">
        <v>100.0</v>
      </c>
      <c r="F24" s="1">
        <v>96.0</v>
      </c>
    </row>
    <row r="26">
      <c r="A26" s="1"/>
      <c r="B26" s="1">
        <v>3.4</v>
      </c>
      <c r="C26" s="1">
        <v>3.3</v>
      </c>
      <c r="D26" s="1">
        <v>3.2</v>
      </c>
      <c r="E26" s="1">
        <v>3.1</v>
      </c>
      <c r="F26" s="1">
        <v>3.0</v>
      </c>
      <c r="G26" s="18">
        <v>2.9</v>
      </c>
      <c r="H26" s="1">
        <v>2.8</v>
      </c>
      <c r="I26" s="1">
        <v>2.7</v>
      </c>
      <c r="J26" s="1">
        <v>2.6</v>
      </c>
      <c r="K26" s="1">
        <v>2.4</v>
      </c>
      <c r="L26" s="1">
        <v>2.3</v>
      </c>
      <c r="M26" s="1">
        <v>2.2</v>
      </c>
      <c r="N26" s="1">
        <v>2.1</v>
      </c>
      <c r="O26" s="1">
        <v>2.0</v>
      </c>
    </row>
    <row r="27">
      <c r="A27" s="1">
        <v>5.0</v>
      </c>
      <c r="B27" s="1"/>
      <c r="C27" s="1"/>
      <c r="D27" s="1">
        <v>24.0</v>
      </c>
      <c r="E27" s="1">
        <v>46.0</v>
      </c>
      <c r="F27" s="1">
        <v>46.0</v>
      </c>
      <c r="G27" s="18">
        <v>52.0</v>
      </c>
      <c r="H27" s="1">
        <v>20.0</v>
      </c>
      <c r="I27" s="1">
        <v>20.0</v>
      </c>
      <c r="J27" s="1">
        <v>0.0</v>
      </c>
      <c r="K27" s="1"/>
    </row>
    <row r="28">
      <c r="A28" s="1">
        <v>20.0</v>
      </c>
      <c r="B28" s="2"/>
      <c r="C28" s="2"/>
      <c r="D28" s="1">
        <v>34.0</v>
      </c>
      <c r="E28" s="1">
        <v>78.0</v>
      </c>
      <c r="F28" s="1">
        <v>78.0</v>
      </c>
      <c r="G28" s="1">
        <v>56.0</v>
      </c>
      <c r="H28" s="18"/>
      <c r="I28" s="1"/>
      <c r="J28" s="2"/>
    </row>
    <row r="29">
      <c r="A29" s="1">
        <v>50.0</v>
      </c>
      <c r="B29" s="2"/>
      <c r="C29" s="2"/>
      <c r="D29" s="1">
        <v>64.0</v>
      </c>
      <c r="E29" s="1">
        <v>88.0</v>
      </c>
      <c r="F29" s="1">
        <v>88.0</v>
      </c>
      <c r="G29" s="1">
        <v>56.0</v>
      </c>
      <c r="H29" s="18"/>
      <c r="I29" s="18"/>
      <c r="J29" s="1"/>
    </row>
    <row r="30">
      <c r="A30" s="1">
        <v>100.0</v>
      </c>
      <c r="B30" s="1"/>
      <c r="C30" s="1">
        <v>82.0</v>
      </c>
      <c r="D30" s="1">
        <v>82.0</v>
      </c>
      <c r="E30" s="1">
        <v>92.0</v>
      </c>
      <c r="F30" s="1">
        <v>92.0</v>
      </c>
      <c r="G30" s="18">
        <v>56.0</v>
      </c>
      <c r="H30" s="1"/>
      <c r="I30" s="1"/>
      <c r="J30" s="18"/>
    </row>
    <row r="31">
      <c r="A31" s="1">
        <v>500.0</v>
      </c>
      <c r="B31" s="1">
        <v>78.0</v>
      </c>
      <c r="C31" s="1">
        <v>98.0</v>
      </c>
      <c r="D31" s="1">
        <v>98.0</v>
      </c>
      <c r="E31" s="1">
        <v>92.0</v>
      </c>
      <c r="F31" s="18">
        <v>92.0</v>
      </c>
      <c r="G31" s="18"/>
      <c r="H31" s="1"/>
      <c r="I31" s="1"/>
      <c r="J31" s="2"/>
    </row>
    <row r="32">
      <c r="A32" s="1">
        <v>1000.0</v>
      </c>
      <c r="B32" s="1">
        <v>92.0</v>
      </c>
      <c r="C32" s="1">
        <v>98.0</v>
      </c>
      <c r="D32" s="1">
        <v>98.0</v>
      </c>
      <c r="E32" s="18">
        <v>92.0</v>
      </c>
      <c r="F32" s="18">
        <v>92.0</v>
      </c>
      <c r="G32" s="1"/>
    </row>
    <row r="33">
      <c r="A33" s="1">
        <v>1100.0</v>
      </c>
      <c r="B33" s="1">
        <v>96.0</v>
      </c>
      <c r="C33" s="1">
        <v>98.0</v>
      </c>
      <c r="D33" s="1">
        <v>98.0</v>
      </c>
      <c r="E33" s="18">
        <v>92.0</v>
      </c>
      <c r="F33" s="1"/>
    </row>
    <row r="34">
      <c r="A34" s="1">
        <v>1200.0</v>
      </c>
      <c r="B34" s="1">
        <v>98.0</v>
      </c>
      <c r="C34" s="1">
        <v>98.0</v>
      </c>
      <c r="D34" s="1">
        <v>98.0</v>
      </c>
      <c r="E34" s="18">
        <v>92.0</v>
      </c>
      <c r="F34" s="1"/>
    </row>
    <row r="35">
      <c r="A35" s="1">
        <v>1400.0</v>
      </c>
      <c r="B35" s="1">
        <v>100.0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4.13"/>
    <col customWidth="1" min="4" max="4" width="17.88"/>
    <col customWidth="1" min="5" max="5" width="31.63"/>
    <col customWidth="1" min="6" max="6" width="47.75"/>
    <col customWidth="1" min="7" max="7" width="46.38"/>
    <col customWidth="1" min="8" max="8" width="47.0"/>
    <col customWidth="1" min="9" max="9" width="45.25"/>
    <col customWidth="1" min="10" max="10" width="40.5"/>
    <col customWidth="1" min="11" max="11" width="40.13"/>
    <col customWidth="1" min="16" max="16" width="22.5"/>
  </cols>
  <sheetData>
    <row r="1">
      <c r="A1" s="1" t="s">
        <v>84</v>
      </c>
      <c r="B1" s="1" t="s">
        <v>103</v>
      </c>
      <c r="C1" s="1">
        <v>0.925292999999955</v>
      </c>
    </row>
    <row r="2">
      <c r="A2" s="3" t="s">
        <v>6</v>
      </c>
      <c r="B2" s="1" t="s">
        <v>93</v>
      </c>
      <c r="C2" s="1" t="s">
        <v>8</v>
      </c>
      <c r="D2" s="1" t="s">
        <v>9</v>
      </c>
      <c r="E2" s="1" t="s">
        <v>10</v>
      </c>
    </row>
    <row r="3">
      <c r="A3" s="4" t="s">
        <v>11</v>
      </c>
      <c r="B3" s="1">
        <v>1.0</v>
      </c>
      <c r="C3" s="1">
        <v>79.1556</v>
      </c>
      <c r="D3" s="1">
        <v>79.1556</v>
      </c>
      <c r="E3" s="1">
        <v>12.6868</v>
      </c>
      <c r="F3" s="5" t="s">
        <v>12</v>
      </c>
      <c r="K3" s="21" t="s">
        <v>104</v>
      </c>
      <c r="V3" s="1">
        <v>0.953350999999946</v>
      </c>
    </row>
    <row r="4">
      <c r="A4" s="5" t="s">
        <v>16</v>
      </c>
      <c r="B4" s="1"/>
      <c r="C4" s="1" t="s">
        <v>8</v>
      </c>
      <c r="D4" s="1" t="s">
        <v>14</v>
      </c>
      <c r="E4" s="1" t="s">
        <v>15</v>
      </c>
      <c r="F4" s="5" t="s">
        <v>16</v>
      </c>
      <c r="H4" s="1" t="s">
        <v>8</v>
      </c>
      <c r="I4" s="1" t="s">
        <v>14</v>
      </c>
      <c r="J4" s="1" t="s">
        <v>15</v>
      </c>
      <c r="K4" s="21" t="s">
        <v>105</v>
      </c>
      <c r="M4" s="1" t="s">
        <v>8</v>
      </c>
      <c r="N4" s="1" t="s">
        <v>14</v>
      </c>
      <c r="O4" s="1" t="s">
        <v>15</v>
      </c>
      <c r="P4" s="6" t="s">
        <v>13</v>
      </c>
      <c r="Q4" s="1"/>
      <c r="R4" s="1" t="s">
        <v>8</v>
      </c>
      <c r="S4" s="1" t="s">
        <v>14</v>
      </c>
      <c r="T4" s="1" t="s">
        <v>15</v>
      </c>
      <c r="U4" s="1" t="s">
        <v>106</v>
      </c>
      <c r="V4" s="1" t="s">
        <v>107</v>
      </c>
      <c r="W4" s="2"/>
    </row>
    <row r="5">
      <c r="A5" s="8" t="s">
        <v>18</v>
      </c>
      <c r="B5" s="4">
        <v>1.0</v>
      </c>
      <c r="C5" s="4">
        <v>76.9202</v>
      </c>
      <c r="D5" s="4">
        <v>-2.2353</v>
      </c>
      <c r="E5" s="4">
        <v>1.5115</v>
      </c>
      <c r="F5" s="8" t="s">
        <v>19</v>
      </c>
      <c r="G5" s="1">
        <v>1.0</v>
      </c>
      <c r="H5" s="1">
        <v>79.1556</v>
      </c>
      <c r="I5" s="1">
        <v>0.0</v>
      </c>
      <c r="J5" s="1">
        <v>0.0</v>
      </c>
      <c r="K5" s="22" t="s">
        <v>19</v>
      </c>
      <c r="L5" s="1">
        <v>0.988138999999969</v>
      </c>
      <c r="M5" s="1">
        <v>79.6406</v>
      </c>
      <c r="N5" s="1">
        <v>0.485</v>
      </c>
      <c r="O5" s="1">
        <v>2.6857</v>
      </c>
      <c r="P5" s="7">
        <v>25.0</v>
      </c>
      <c r="Q5" s="1">
        <v>0.170901999999995</v>
      </c>
      <c r="R5" s="1">
        <v>80.1694</v>
      </c>
      <c r="S5" s="1">
        <v>1.0139</v>
      </c>
      <c r="T5" s="1">
        <v>17.7303</v>
      </c>
      <c r="U5" s="1">
        <f t="shared" ref="U5:U44" si="1">SQRT(1/(4*P5))*180</f>
        <v>18</v>
      </c>
      <c r="V5" s="1">
        <v>0.634517999999996</v>
      </c>
      <c r="W5" s="1">
        <v>0.678142999999993</v>
      </c>
      <c r="X5" s="1"/>
    </row>
    <row r="6">
      <c r="A6" s="8" t="s">
        <v>21</v>
      </c>
      <c r="B6" s="4">
        <v>0.999999</v>
      </c>
      <c r="C6" s="4">
        <v>76.4341</v>
      </c>
      <c r="D6" s="4">
        <v>-2.7215</v>
      </c>
      <c r="E6" s="4">
        <v>1.7189</v>
      </c>
      <c r="F6" s="8" t="s">
        <v>22</v>
      </c>
      <c r="G6" s="1">
        <v>1.0</v>
      </c>
      <c r="H6" s="1">
        <v>79.1556</v>
      </c>
      <c r="I6" s="1">
        <v>0.0</v>
      </c>
      <c r="J6" s="1">
        <v>0.0</v>
      </c>
      <c r="K6" s="22" t="s">
        <v>22</v>
      </c>
      <c r="L6" s="1">
        <v>0.98068499999996</v>
      </c>
      <c r="M6" s="1">
        <v>79.7051</v>
      </c>
      <c r="N6" s="1">
        <v>0.5496</v>
      </c>
      <c r="O6" s="1">
        <v>3.0223</v>
      </c>
      <c r="P6" s="7">
        <v>50.0</v>
      </c>
      <c r="Q6" s="1">
        <v>0.381853999999998</v>
      </c>
      <c r="R6" s="1">
        <v>80.7731</v>
      </c>
      <c r="S6" s="1">
        <v>1.6176</v>
      </c>
      <c r="T6" s="1">
        <v>12.5309</v>
      </c>
      <c r="U6" s="1">
        <f t="shared" si="1"/>
        <v>12.72792206</v>
      </c>
      <c r="V6" s="1">
        <v>0.841158999999977</v>
      </c>
      <c r="W6" s="1">
        <v>0.891916999999972</v>
      </c>
    </row>
    <row r="7">
      <c r="A7" s="8" t="s">
        <v>24</v>
      </c>
      <c r="B7" s="4">
        <v>0.999975999999999</v>
      </c>
      <c r="C7" s="4">
        <v>75.7869</v>
      </c>
      <c r="D7" s="4">
        <v>-3.3687</v>
      </c>
      <c r="E7" s="4">
        <v>1.9719</v>
      </c>
      <c r="F7" s="8" t="s">
        <v>25</v>
      </c>
      <c r="G7" s="1">
        <v>1.0</v>
      </c>
      <c r="H7" s="1">
        <v>79.1556</v>
      </c>
      <c r="I7" s="1">
        <v>0.0</v>
      </c>
      <c r="J7" s="1">
        <v>0.0</v>
      </c>
      <c r="K7" s="22" t="s">
        <v>25</v>
      </c>
      <c r="L7" s="1">
        <v>0.968200999999953</v>
      </c>
      <c r="M7" s="1">
        <v>79.7919</v>
      </c>
      <c r="N7" s="1">
        <v>0.6364</v>
      </c>
      <c r="O7" s="1">
        <v>3.4145</v>
      </c>
      <c r="P7" s="7">
        <v>75.0</v>
      </c>
      <c r="Q7" s="1">
        <v>0.538111000000001</v>
      </c>
      <c r="R7" s="1">
        <v>81.4383</v>
      </c>
      <c r="S7" s="1">
        <v>2.2827</v>
      </c>
      <c r="T7" s="1">
        <v>10.1509</v>
      </c>
      <c r="U7" s="1">
        <f t="shared" si="1"/>
        <v>10.39230485</v>
      </c>
      <c r="V7" s="1">
        <v>0.889117999999969</v>
      </c>
      <c r="W7" s="1">
        <v>0.957243999999954</v>
      </c>
    </row>
    <row r="8">
      <c r="A8" s="8" t="s">
        <v>27</v>
      </c>
      <c r="B8" s="4">
        <v>0.999884999999999</v>
      </c>
      <c r="C8" s="4">
        <v>74.9087</v>
      </c>
      <c r="D8" s="4">
        <v>-4.2468</v>
      </c>
      <c r="E8" s="4">
        <v>2.2775</v>
      </c>
      <c r="F8" s="8" t="s">
        <v>28</v>
      </c>
      <c r="G8" s="1">
        <v>1.0</v>
      </c>
      <c r="H8" s="1">
        <v>79.1556</v>
      </c>
      <c r="I8" s="1">
        <v>0.0</v>
      </c>
      <c r="J8" s="1">
        <v>0.0</v>
      </c>
      <c r="K8" s="22" t="s">
        <v>28</v>
      </c>
      <c r="L8" s="1">
        <v>0.946324999999954</v>
      </c>
      <c r="M8" s="1">
        <v>79.9585</v>
      </c>
      <c r="N8" s="1">
        <v>0.8029</v>
      </c>
      <c r="O8" s="1">
        <v>3.89</v>
      </c>
      <c r="P8" s="7">
        <v>100.0</v>
      </c>
      <c r="Q8" s="1">
        <v>0.625656999999999</v>
      </c>
      <c r="R8" s="1">
        <v>79.0506</v>
      </c>
      <c r="S8" s="1">
        <v>-0.105</v>
      </c>
      <c r="T8" s="1">
        <v>8.7419</v>
      </c>
      <c r="U8" s="1">
        <f t="shared" si="1"/>
        <v>9</v>
      </c>
      <c r="V8" s="1">
        <v>0.907721999999964</v>
      </c>
      <c r="W8" s="1">
        <v>0.972064999999941</v>
      </c>
    </row>
    <row r="9">
      <c r="A9" s="8" t="s">
        <v>30</v>
      </c>
      <c r="B9" s="4">
        <v>0.999390999999996</v>
      </c>
      <c r="C9" s="4">
        <v>73.6034</v>
      </c>
      <c r="D9" s="4">
        <v>-5.5521</v>
      </c>
      <c r="E9" s="4">
        <v>2.6445</v>
      </c>
      <c r="F9" s="8" t="s">
        <v>31</v>
      </c>
      <c r="G9" s="1">
        <v>1.0</v>
      </c>
      <c r="H9" s="1">
        <v>79.1556</v>
      </c>
      <c r="I9" s="1">
        <v>0.0</v>
      </c>
      <c r="J9" s="1">
        <v>0.0</v>
      </c>
      <c r="K9" s="22" t="s">
        <v>31</v>
      </c>
      <c r="L9" s="1">
        <v>0.906079999999964</v>
      </c>
      <c r="M9" s="1">
        <v>80.287</v>
      </c>
      <c r="N9" s="1">
        <v>1.1315</v>
      </c>
      <c r="O9" s="1">
        <v>4.5324</v>
      </c>
      <c r="P9" s="7">
        <v>125.0</v>
      </c>
      <c r="Q9" s="1">
        <v>0.712960999999998</v>
      </c>
      <c r="R9" s="1">
        <v>80.0412</v>
      </c>
      <c r="S9" s="1">
        <v>0.8857</v>
      </c>
      <c r="T9" s="1">
        <v>7.7931</v>
      </c>
      <c r="U9" s="1">
        <f t="shared" si="1"/>
        <v>8.049844719</v>
      </c>
      <c r="V9" s="1">
        <v>0.923666999999955</v>
      </c>
      <c r="W9" s="1">
        <v>0.990991999999952</v>
      </c>
    </row>
    <row r="10">
      <c r="A10" s="8" t="s">
        <v>33</v>
      </c>
      <c r="B10" s="4">
        <v>0.995747999999982</v>
      </c>
      <c r="C10" s="4">
        <v>71.5057</v>
      </c>
      <c r="D10" s="4">
        <v>-7.6499</v>
      </c>
      <c r="E10" s="4">
        <v>3.1443</v>
      </c>
      <c r="F10" s="8" t="s">
        <v>34</v>
      </c>
      <c r="G10" s="1">
        <v>1.0</v>
      </c>
      <c r="H10" s="1">
        <v>79.1556</v>
      </c>
      <c r="I10" s="1">
        <v>0.0</v>
      </c>
      <c r="J10" s="1">
        <v>0.0</v>
      </c>
      <c r="K10" s="22" t="s">
        <v>34</v>
      </c>
      <c r="L10" s="1">
        <v>0.822922999999984</v>
      </c>
      <c r="M10" s="1">
        <v>80.7349</v>
      </c>
      <c r="N10" s="1">
        <v>1.5794</v>
      </c>
      <c r="O10" s="1">
        <v>5.4525</v>
      </c>
      <c r="P10" s="7">
        <v>150.0</v>
      </c>
      <c r="Q10" s="1">
        <v>0.744064999999992</v>
      </c>
      <c r="R10" s="1">
        <v>77.9885</v>
      </c>
      <c r="S10" s="1">
        <v>-1.1671</v>
      </c>
      <c r="T10" s="1">
        <v>7.2347</v>
      </c>
      <c r="U10" s="1">
        <f t="shared" si="1"/>
        <v>7.348469228</v>
      </c>
      <c r="V10" s="1">
        <v>0.925483999999957</v>
      </c>
      <c r="W10" s="1">
        <v>0.994708999999959</v>
      </c>
    </row>
    <row r="11">
      <c r="A11" s="8" t="s">
        <v>36</v>
      </c>
      <c r="B11" s="4">
        <v>0.963853999999952</v>
      </c>
      <c r="C11" s="4">
        <v>67.6307</v>
      </c>
      <c r="D11" s="4">
        <v>-11.5249</v>
      </c>
      <c r="E11" s="4">
        <v>3.8952</v>
      </c>
      <c r="F11" s="8" t="s">
        <v>37</v>
      </c>
      <c r="G11" s="1">
        <v>1.0</v>
      </c>
      <c r="H11" s="1">
        <v>79.1556</v>
      </c>
      <c r="I11" s="1">
        <v>0.0</v>
      </c>
      <c r="J11" s="1">
        <v>0.0</v>
      </c>
      <c r="K11" s="22" t="s">
        <v>37</v>
      </c>
      <c r="L11" s="1">
        <v>0.644367999999995</v>
      </c>
      <c r="M11" s="1">
        <v>81.4568</v>
      </c>
      <c r="N11" s="1">
        <v>2.3013</v>
      </c>
      <c r="O11" s="1">
        <v>6.8799</v>
      </c>
      <c r="P11" s="7">
        <v>175.0</v>
      </c>
      <c r="Q11" s="1">
        <v>0.810401999999991</v>
      </c>
      <c r="R11" s="1">
        <v>78.0241</v>
      </c>
      <c r="S11" s="1">
        <v>-1.1314</v>
      </c>
      <c r="T11" s="1">
        <v>6.4787</v>
      </c>
      <c r="U11" s="1">
        <f t="shared" si="1"/>
        <v>6.803360514</v>
      </c>
      <c r="V11" s="1">
        <v>0.92958399999996</v>
      </c>
      <c r="W11" s="1">
        <v>0.992955999999952</v>
      </c>
    </row>
    <row r="12">
      <c r="A12" s="8" t="s">
        <v>108</v>
      </c>
      <c r="B12" s="4">
        <v>0.625836999999996</v>
      </c>
      <c r="C12" s="4">
        <v>57.936</v>
      </c>
      <c r="D12" s="4">
        <v>-21.2196</v>
      </c>
      <c r="E12" s="4">
        <v>5.6582</v>
      </c>
      <c r="F12" s="8" t="s">
        <v>109</v>
      </c>
      <c r="G12" s="1">
        <v>1.0</v>
      </c>
      <c r="H12" s="1">
        <v>79.1556</v>
      </c>
      <c r="I12" s="1">
        <v>0.0</v>
      </c>
      <c r="J12" s="1">
        <v>0.0</v>
      </c>
      <c r="K12" s="22" t="s">
        <v>109</v>
      </c>
      <c r="L12" s="1">
        <v>0.257507999999999</v>
      </c>
      <c r="M12" s="1">
        <v>83.056</v>
      </c>
      <c r="N12" s="1">
        <v>3.9007</v>
      </c>
      <c r="O12" s="1">
        <v>10.0749</v>
      </c>
      <c r="P12" s="7">
        <v>200.0</v>
      </c>
      <c r="Q12" s="1">
        <v>0.838783999999991</v>
      </c>
      <c r="R12" s="1">
        <v>78.2288</v>
      </c>
      <c r="S12" s="1">
        <v>-0.9268</v>
      </c>
      <c r="T12" s="1">
        <v>6.1714</v>
      </c>
      <c r="U12" s="1">
        <f t="shared" si="1"/>
        <v>6.363961031</v>
      </c>
      <c r="V12" s="1">
        <v>0.938609999999951</v>
      </c>
      <c r="W12" s="1">
        <v>0.998071999999979</v>
      </c>
    </row>
    <row r="13">
      <c r="A13" s="8" t="s">
        <v>39</v>
      </c>
      <c r="B13" s="4">
        <v>0.999971999999999</v>
      </c>
      <c r="C13" s="4">
        <v>81.3684</v>
      </c>
      <c r="D13" s="4">
        <v>2.2128</v>
      </c>
      <c r="E13" s="4">
        <v>1.4842</v>
      </c>
      <c r="F13" s="10" t="s">
        <v>40</v>
      </c>
      <c r="G13" s="4"/>
      <c r="H13" s="11"/>
      <c r="I13" s="11"/>
      <c r="J13" s="11"/>
      <c r="K13" s="21" t="s">
        <v>110</v>
      </c>
      <c r="M13" s="1" t="s">
        <v>8</v>
      </c>
      <c r="N13" s="1" t="s">
        <v>14</v>
      </c>
      <c r="O13" s="1" t="s">
        <v>15</v>
      </c>
      <c r="P13" s="7">
        <v>225.0</v>
      </c>
      <c r="Q13" s="1">
        <v>0.872982999999981</v>
      </c>
      <c r="R13" s="1">
        <v>78.9239</v>
      </c>
      <c r="S13" s="1">
        <v>-0.2317</v>
      </c>
      <c r="T13" s="1">
        <v>5.7866</v>
      </c>
      <c r="U13" s="1">
        <f t="shared" si="1"/>
        <v>6</v>
      </c>
      <c r="V13" s="1">
        <v>0.935895999999954</v>
      </c>
      <c r="W13" s="1">
        <v>0.998864999999984</v>
      </c>
    </row>
    <row r="14">
      <c r="A14" s="8" t="s">
        <v>42</v>
      </c>
      <c r="B14" s="4">
        <v>0.999948999999999</v>
      </c>
      <c r="C14" s="4">
        <v>81.845</v>
      </c>
      <c r="D14" s="4">
        <v>2.6894</v>
      </c>
      <c r="E14" s="4">
        <v>1.6832</v>
      </c>
      <c r="F14" s="12" t="s">
        <v>19</v>
      </c>
      <c r="G14" s="1">
        <v>0.998878999999993</v>
      </c>
      <c r="H14" s="1">
        <v>78.6804</v>
      </c>
      <c r="I14" s="1">
        <v>-0.4752</v>
      </c>
      <c r="J14" s="1">
        <v>2.9347</v>
      </c>
      <c r="K14" s="22" t="s">
        <v>19</v>
      </c>
      <c r="L14" s="1">
        <v>0.996191999999984</v>
      </c>
      <c r="M14" s="1">
        <v>79.193</v>
      </c>
      <c r="N14" s="1">
        <v>0.0374</v>
      </c>
      <c r="O14" s="1">
        <v>2.6961</v>
      </c>
      <c r="P14" s="7">
        <v>250.0</v>
      </c>
      <c r="Q14" s="1">
        <v>0.886577999999976</v>
      </c>
      <c r="R14" s="1">
        <v>78.1969</v>
      </c>
      <c r="S14" s="1">
        <v>-0.9587</v>
      </c>
      <c r="T14" s="1">
        <v>5.5043</v>
      </c>
      <c r="U14" s="1">
        <f t="shared" si="1"/>
        <v>5.692099788</v>
      </c>
      <c r="V14" s="1">
        <v>0.93889399999995</v>
      </c>
      <c r="W14" s="1">
        <v>0.99937099999999</v>
      </c>
    </row>
    <row r="15">
      <c r="A15" s="8" t="s">
        <v>44</v>
      </c>
      <c r="B15" s="4">
        <v>0.999919999999998</v>
      </c>
      <c r="C15" s="4">
        <v>82.4771</v>
      </c>
      <c r="D15" s="4">
        <v>3.3215</v>
      </c>
      <c r="E15" s="4">
        <v>1.9241</v>
      </c>
      <c r="F15" s="12" t="s">
        <v>22</v>
      </c>
      <c r="G15" s="1">
        <v>0.997282999999988</v>
      </c>
      <c r="H15" s="1">
        <v>78.5358</v>
      </c>
      <c r="I15" s="1">
        <v>-0.6197</v>
      </c>
      <c r="J15" s="1">
        <v>3.3831</v>
      </c>
      <c r="K15" s="22" t="s">
        <v>22</v>
      </c>
      <c r="L15" s="1">
        <v>0.992920999999978</v>
      </c>
      <c r="M15" s="1">
        <v>79.1681</v>
      </c>
      <c r="N15" s="1">
        <v>0.0125</v>
      </c>
      <c r="O15" s="1">
        <v>3.0568</v>
      </c>
      <c r="P15" s="7">
        <v>275.0</v>
      </c>
      <c r="Q15" s="1">
        <v>0.903471999999972</v>
      </c>
      <c r="R15" s="1">
        <v>78.5315</v>
      </c>
      <c r="S15" s="1">
        <v>-0.6241</v>
      </c>
      <c r="T15" s="1">
        <v>5.3628</v>
      </c>
      <c r="U15" s="1">
        <f t="shared" si="1"/>
        <v>5.427204202</v>
      </c>
      <c r="V15" s="1">
        <v>0.940559999999949</v>
      </c>
      <c r="W15" s="1">
        <v>0.999661999999994</v>
      </c>
    </row>
    <row r="16">
      <c r="A16" s="8" t="s">
        <v>45</v>
      </c>
      <c r="B16" s="4">
        <v>0.999878999999998</v>
      </c>
      <c r="C16" s="4">
        <v>83.3307</v>
      </c>
      <c r="D16" s="4">
        <v>4.1751</v>
      </c>
      <c r="E16" s="4">
        <v>2.2127</v>
      </c>
      <c r="F16" s="12" t="s">
        <v>25</v>
      </c>
      <c r="G16" s="1">
        <v>0.993093999999976</v>
      </c>
      <c r="H16" s="1">
        <v>78.3378</v>
      </c>
      <c r="I16" s="1">
        <v>-0.8178</v>
      </c>
      <c r="J16" s="1">
        <v>3.9542</v>
      </c>
      <c r="K16" s="22" t="s">
        <v>25</v>
      </c>
      <c r="L16" s="1">
        <v>0.986663999999967</v>
      </c>
      <c r="M16" s="1">
        <v>79.1373</v>
      </c>
      <c r="N16" s="1">
        <v>-0.0182</v>
      </c>
      <c r="O16" s="1">
        <v>3.4886</v>
      </c>
      <c r="P16" s="7">
        <v>300.0</v>
      </c>
      <c r="Q16" s="1">
        <v>0.921429999999964</v>
      </c>
      <c r="R16" s="1">
        <v>79.2601</v>
      </c>
      <c r="S16" s="1">
        <v>0.1045</v>
      </c>
      <c r="T16" s="1">
        <v>5.1864</v>
      </c>
      <c r="U16" s="1">
        <f t="shared" si="1"/>
        <v>5.196152423</v>
      </c>
      <c r="V16" s="1">
        <v>0.944259999999948</v>
      </c>
      <c r="W16" s="1">
        <v>0.999855999999997</v>
      </c>
    </row>
    <row r="17">
      <c r="A17" s="8" t="s">
        <v>46</v>
      </c>
      <c r="B17" s="4">
        <v>0.999823999999997</v>
      </c>
      <c r="C17" s="4">
        <v>84.5908</v>
      </c>
      <c r="D17" s="4">
        <v>5.4352</v>
      </c>
      <c r="E17" s="4">
        <v>2.5539</v>
      </c>
      <c r="F17" s="12" t="s">
        <v>28</v>
      </c>
      <c r="G17" s="1">
        <v>0.98129799999996</v>
      </c>
      <c r="H17" s="1">
        <v>78.0875</v>
      </c>
      <c r="I17" s="1">
        <v>-1.0681</v>
      </c>
      <c r="J17" s="1">
        <v>4.7295</v>
      </c>
      <c r="K17" s="22" t="s">
        <v>28</v>
      </c>
      <c r="L17" s="1">
        <v>0.97350899999996</v>
      </c>
      <c r="M17" s="1">
        <v>79.141</v>
      </c>
      <c r="N17" s="1">
        <v>-0.0146</v>
      </c>
      <c r="O17" s="1">
        <v>4.0269</v>
      </c>
      <c r="P17" s="7">
        <v>325.0</v>
      </c>
      <c r="Q17" s="1">
        <v>0.936290999999957</v>
      </c>
      <c r="R17" s="1">
        <v>80.9768</v>
      </c>
      <c r="S17" s="1">
        <v>1.8213</v>
      </c>
      <c r="T17" s="1">
        <v>5.1556</v>
      </c>
      <c r="U17" s="1">
        <f t="shared" si="1"/>
        <v>4.992301766</v>
      </c>
      <c r="V17" s="1">
        <v>0.941732999999949</v>
      </c>
      <c r="W17" s="1">
        <v>0.999927999999998</v>
      </c>
    </row>
    <row r="18">
      <c r="A18" s="8" t="s">
        <v>47</v>
      </c>
      <c r="B18" s="4">
        <v>0.999758999999996</v>
      </c>
      <c r="C18" s="4">
        <v>86.5933</v>
      </c>
      <c r="D18" s="4">
        <v>7.4377</v>
      </c>
      <c r="E18" s="4">
        <v>3.0098</v>
      </c>
      <c r="F18" s="12" t="s">
        <v>31</v>
      </c>
      <c r="G18" s="1">
        <v>0.946605999999956</v>
      </c>
      <c r="H18" s="1">
        <v>77.7653</v>
      </c>
      <c r="I18" s="1">
        <v>-1.3902</v>
      </c>
      <c r="J18" s="1">
        <v>5.9311</v>
      </c>
      <c r="K18" s="22" t="s">
        <v>31</v>
      </c>
      <c r="L18" s="1">
        <v>0.944902999999957</v>
      </c>
      <c r="M18" s="1">
        <v>79.2371</v>
      </c>
      <c r="N18" s="1">
        <v>0.0815</v>
      </c>
      <c r="O18" s="1">
        <v>4.7764</v>
      </c>
      <c r="P18" s="7">
        <v>350.0</v>
      </c>
      <c r="Q18" s="1">
        <v>0.947569999999953</v>
      </c>
      <c r="R18" s="1">
        <v>80.8675</v>
      </c>
      <c r="S18" s="1">
        <v>1.7119</v>
      </c>
      <c r="T18" s="1">
        <v>4.7974</v>
      </c>
      <c r="U18" s="1">
        <f t="shared" si="1"/>
        <v>4.810702354</v>
      </c>
      <c r="V18" s="1">
        <v>0.945196999999949</v>
      </c>
      <c r="W18" s="1">
        <v>0.999890999999998</v>
      </c>
    </row>
    <row r="19">
      <c r="A19" s="8" t="s">
        <v>48</v>
      </c>
      <c r="B19" s="4">
        <v>0.999749999999996</v>
      </c>
      <c r="C19" s="4">
        <v>90.2157</v>
      </c>
      <c r="D19" s="4">
        <v>11.0602</v>
      </c>
      <c r="E19" s="4">
        <v>3.6695</v>
      </c>
      <c r="F19" s="12" t="s">
        <v>34</v>
      </c>
      <c r="G19" s="1">
        <v>0.846144999999979</v>
      </c>
      <c r="H19" s="1">
        <v>77.0193</v>
      </c>
      <c r="I19" s="1">
        <v>-2.1363</v>
      </c>
      <c r="J19" s="1">
        <v>8.1827</v>
      </c>
      <c r="K19" s="22" t="s">
        <v>34</v>
      </c>
      <c r="L19" s="1">
        <v>0.875246999999972</v>
      </c>
      <c r="M19" s="1">
        <v>79.3189</v>
      </c>
      <c r="N19" s="1">
        <v>0.1634</v>
      </c>
      <c r="O19" s="1">
        <v>5.9305</v>
      </c>
      <c r="P19" s="7">
        <v>375.0</v>
      </c>
      <c r="Q19" s="1">
        <v>0.951557999999946</v>
      </c>
      <c r="R19" s="1">
        <v>80.154</v>
      </c>
      <c r="S19" s="1">
        <v>0.9984</v>
      </c>
      <c r="T19" s="1">
        <v>4.62</v>
      </c>
      <c r="U19" s="1">
        <f t="shared" si="1"/>
        <v>4.647580015</v>
      </c>
      <c r="V19" s="1">
        <v>0.944593999999949</v>
      </c>
      <c r="W19" s="1">
        <v>0.999960999999999</v>
      </c>
    </row>
    <row r="20">
      <c r="A20" s="8" t="s">
        <v>111</v>
      </c>
      <c r="B20" s="4">
        <v>0.999852999999997</v>
      </c>
      <c r="C20" s="4">
        <v>98.7921</v>
      </c>
      <c r="D20" s="4">
        <v>19.6365</v>
      </c>
      <c r="E20" s="4">
        <v>5.07</v>
      </c>
      <c r="F20" s="12" t="s">
        <v>37</v>
      </c>
      <c r="G20" s="1">
        <v>0.580676000000001</v>
      </c>
      <c r="H20" s="1">
        <v>74.6944</v>
      </c>
      <c r="I20" s="1">
        <v>-4.4612</v>
      </c>
      <c r="J20" s="1">
        <v>14.3011</v>
      </c>
      <c r="K20" s="22" t="s">
        <v>37</v>
      </c>
      <c r="L20" s="1">
        <v>0.695330999999995</v>
      </c>
      <c r="M20" s="1">
        <v>79.3696</v>
      </c>
      <c r="N20" s="1">
        <v>0.214</v>
      </c>
      <c r="O20" s="1">
        <v>7.9823</v>
      </c>
      <c r="P20" s="7">
        <v>400.0</v>
      </c>
      <c r="Q20" s="1">
        <v>0.961032999999938</v>
      </c>
      <c r="R20" s="1">
        <v>79.5945</v>
      </c>
      <c r="S20" s="1">
        <v>0.439</v>
      </c>
      <c r="T20" s="1">
        <v>4.2552</v>
      </c>
      <c r="U20" s="1">
        <f t="shared" si="1"/>
        <v>4.5</v>
      </c>
      <c r="V20" s="1">
        <v>0.944628999999951</v>
      </c>
      <c r="W20" s="1">
        <v>0.999935999999998</v>
      </c>
    </row>
    <row r="21">
      <c r="A21" s="10" t="s">
        <v>40</v>
      </c>
      <c r="B21" s="4"/>
      <c r="C21" s="11"/>
      <c r="D21" s="11"/>
      <c r="E21" s="11"/>
      <c r="F21" s="12" t="s">
        <v>109</v>
      </c>
      <c r="G21" s="1">
        <v>0.257536999999999</v>
      </c>
      <c r="H21" s="1">
        <v>61.3278</v>
      </c>
      <c r="I21" s="1">
        <v>-17.8278</v>
      </c>
      <c r="J21" s="1">
        <v>43.4217</v>
      </c>
      <c r="K21" s="22" t="s">
        <v>109</v>
      </c>
      <c r="L21" s="1">
        <v>0.257592999999999</v>
      </c>
      <c r="M21" s="1">
        <v>79.3865</v>
      </c>
      <c r="N21" s="1">
        <v>0.231</v>
      </c>
      <c r="O21" s="1">
        <v>13.8169</v>
      </c>
      <c r="P21" s="7">
        <v>425.0</v>
      </c>
      <c r="Q21" s="1">
        <v>0.963193999999934</v>
      </c>
      <c r="R21" s="1">
        <v>79.3114</v>
      </c>
      <c r="S21" s="1">
        <v>0.1559</v>
      </c>
      <c r="T21" s="1">
        <v>4.2436</v>
      </c>
      <c r="U21" s="1">
        <f t="shared" si="1"/>
        <v>4.365641251</v>
      </c>
      <c r="V21" s="1">
        <v>0.946247999999951</v>
      </c>
      <c r="W21" s="1">
        <v>0.999915999999998</v>
      </c>
    </row>
    <row r="22">
      <c r="A22" s="12" t="s">
        <v>18</v>
      </c>
      <c r="B22" s="4">
        <v>0.999822999999998</v>
      </c>
      <c r="C22" s="4">
        <v>72.3859</v>
      </c>
      <c r="D22" s="4">
        <v>-6.7697</v>
      </c>
      <c r="E22" s="4">
        <v>3.673</v>
      </c>
      <c r="F22" s="15" t="s">
        <v>50</v>
      </c>
      <c r="K22" s="21" t="s">
        <v>112</v>
      </c>
      <c r="M22" s="1" t="s">
        <v>8</v>
      </c>
      <c r="N22" s="1" t="s">
        <v>14</v>
      </c>
      <c r="O22" s="1" t="s">
        <v>15</v>
      </c>
      <c r="P22" s="7">
        <v>450.0</v>
      </c>
      <c r="Q22" s="1">
        <v>0.969866999999932</v>
      </c>
      <c r="R22" s="1">
        <v>79.9949</v>
      </c>
      <c r="S22" s="1">
        <v>0.8394</v>
      </c>
      <c r="T22" s="1">
        <v>4.1914</v>
      </c>
      <c r="U22" s="1">
        <f t="shared" si="1"/>
        <v>4.242640687</v>
      </c>
      <c r="V22" s="1">
        <v>0.94731499999995</v>
      </c>
      <c r="W22" s="1">
        <v>0.999970999999999</v>
      </c>
    </row>
    <row r="23">
      <c r="A23" s="12" t="s">
        <v>21</v>
      </c>
      <c r="B23" s="4">
        <v>0.999068999999994</v>
      </c>
      <c r="C23" s="4">
        <v>70.9381</v>
      </c>
      <c r="D23" s="4">
        <v>-8.2175</v>
      </c>
      <c r="E23" s="4">
        <v>4.1083</v>
      </c>
      <c r="F23" s="16" t="s">
        <v>51</v>
      </c>
      <c r="G23" s="4">
        <v>0.611831999999998</v>
      </c>
      <c r="H23" s="4">
        <v>74.748</v>
      </c>
      <c r="I23" s="4">
        <v>-4.4076</v>
      </c>
      <c r="J23" s="4">
        <v>13.9752</v>
      </c>
      <c r="K23" s="22" t="s">
        <v>19</v>
      </c>
      <c r="L23" s="1">
        <v>0.999197999999995</v>
      </c>
      <c r="M23" s="1">
        <v>76.2298</v>
      </c>
      <c r="N23" s="1">
        <v>-2.9258</v>
      </c>
      <c r="O23" s="1">
        <v>3.1814</v>
      </c>
      <c r="P23" s="7">
        <v>475.0</v>
      </c>
      <c r="Q23" s="1">
        <v>0.973435999999929</v>
      </c>
      <c r="R23" s="1">
        <v>79.8386</v>
      </c>
      <c r="S23" s="1">
        <v>0.683</v>
      </c>
      <c r="T23" s="1">
        <v>4.0473</v>
      </c>
      <c r="U23" s="1">
        <f t="shared" si="1"/>
        <v>4.12948321</v>
      </c>
      <c r="V23" s="1">
        <v>0.945905999999951</v>
      </c>
      <c r="W23" s="1">
        <v>0.999992999999999</v>
      </c>
    </row>
    <row r="24">
      <c r="A24" s="12" t="s">
        <v>24</v>
      </c>
      <c r="B24" s="4">
        <v>0.994834999999978</v>
      </c>
      <c r="C24" s="4">
        <v>68.9977</v>
      </c>
      <c r="D24" s="4">
        <v>-10.1578</v>
      </c>
      <c r="E24" s="4">
        <v>4.6173</v>
      </c>
      <c r="F24" s="16" t="s">
        <v>52</v>
      </c>
      <c r="G24" s="1">
        <v>0.627577999999998</v>
      </c>
      <c r="H24" s="1">
        <v>74.7924</v>
      </c>
      <c r="I24" s="1">
        <v>-4.3632</v>
      </c>
      <c r="J24" s="1">
        <v>13.7748</v>
      </c>
      <c r="K24" s="22" t="s">
        <v>22</v>
      </c>
      <c r="L24" s="1">
        <v>0.997645999999989</v>
      </c>
      <c r="M24" s="1">
        <v>75.5255</v>
      </c>
      <c r="N24" s="1">
        <v>-3.63</v>
      </c>
      <c r="O24" s="1">
        <v>3.6019</v>
      </c>
      <c r="P24" s="7">
        <v>500.0</v>
      </c>
      <c r="Q24" s="1">
        <v>0.976825999999933</v>
      </c>
      <c r="R24" s="1">
        <v>79.1517</v>
      </c>
      <c r="S24" s="1">
        <v>-0.0038</v>
      </c>
      <c r="T24" s="1">
        <v>3.8326</v>
      </c>
      <c r="U24" s="1">
        <f t="shared" si="1"/>
        <v>4.024922359</v>
      </c>
      <c r="V24" s="1">
        <v>0.947082999999953</v>
      </c>
      <c r="W24" s="1">
        <v>0.999997999999999</v>
      </c>
    </row>
    <row r="25">
      <c r="A25" s="12" t="s">
        <v>27</v>
      </c>
      <c r="B25" s="4">
        <v>0.977396999999959</v>
      </c>
      <c r="C25" s="4">
        <v>66.2593</v>
      </c>
      <c r="D25" s="4">
        <v>-12.8963</v>
      </c>
      <c r="E25" s="4">
        <v>5.2569</v>
      </c>
      <c r="F25" s="16" t="s">
        <v>53</v>
      </c>
      <c r="G25" s="1">
        <v>0.648435999999997</v>
      </c>
      <c r="H25" s="1">
        <v>74.8681</v>
      </c>
      <c r="I25" s="1">
        <v>-4.2875</v>
      </c>
      <c r="J25" s="1">
        <v>13.4715</v>
      </c>
      <c r="K25" s="22" t="s">
        <v>25</v>
      </c>
      <c r="L25" s="1">
        <v>0.992439999999975</v>
      </c>
      <c r="M25" s="1">
        <v>74.5442</v>
      </c>
      <c r="N25" s="1">
        <v>-4.6113</v>
      </c>
      <c r="O25" s="1">
        <v>4.1162</v>
      </c>
      <c r="P25" s="7">
        <v>525.0</v>
      </c>
      <c r="Q25" s="1">
        <v>0.980770999999926</v>
      </c>
      <c r="R25" s="1">
        <v>79.0396</v>
      </c>
      <c r="S25" s="1">
        <v>-0.116</v>
      </c>
      <c r="T25" s="1">
        <v>3.746</v>
      </c>
      <c r="U25" s="1">
        <f t="shared" si="1"/>
        <v>3.927922024</v>
      </c>
      <c r="V25" s="1">
        <v>0.948339999999949</v>
      </c>
      <c r="W25" s="1">
        <v>0.999994999999999</v>
      </c>
    </row>
    <row r="26">
      <c r="A26" s="12" t="s">
        <v>30</v>
      </c>
      <c r="B26" s="4">
        <v>0.923848999999965</v>
      </c>
      <c r="C26" s="4">
        <v>62.0883</v>
      </c>
      <c r="D26" s="4">
        <v>-17.0672</v>
      </c>
      <c r="E26" s="4">
        <v>6.063</v>
      </c>
      <c r="F26" s="16" t="s">
        <v>54</v>
      </c>
      <c r="G26" s="1">
        <v>0.676115999999997</v>
      </c>
      <c r="H26" s="1">
        <v>74.9974</v>
      </c>
      <c r="I26" s="1">
        <v>-4.1581</v>
      </c>
      <c r="J26" s="1">
        <v>13.0147</v>
      </c>
      <c r="K26" s="22" t="s">
        <v>28</v>
      </c>
      <c r="L26" s="1">
        <v>0.975278999999958</v>
      </c>
      <c r="M26" s="1">
        <v>73.0922</v>
      </c>
      <c r="N26" s="1">
        <v>-6.0633</v>
      </c>
      <c r="O26" s="1">
        <v>4.7713</v>
      </c>
      <c r="P26" s="7">
        <v>550.0</v>
      </c>
      <c r="Q26" s="1">
        <v>0.983209999999931</v>
      </c>
      <c r="R26" s="1">
        <v>80.0815</v>
      </c>
      <c r="S26" s="1">
        <v>0.926</v>
      </c>
      <c r="T26" s="1">
        <v>3.7626</v>
      </c>
      <c r="U26" s="1">
        <f t="shared" si="1"/>
        <v>3.837612894</v>
      </c>
      <c r="V26" s="1">
        <v>0.948664999999949</v>
      </c>
      <c r="W26" s="1">
        <v>0.999996999999999</v>
      </c>
    </row>
    <row r="27">
      <c r="A27" s="12" t="s">
        <v>33</v>
      </c>
      <c r="B27" s="4">
        <v>0.787254999999988</v>
      </c>
      <c r="C27" s="4">
        <v>54.9456</v>
      </c>
      <c r="D27" s="4">
        <v>-24.21</v>
      </c>
      <c r="E27" s="4">
        <v>7.1778</v>
      </c>
      <c r="F27" s="16" t="s">
        <v>55</v>
      </c>
      <c r="G27" s="1">
        <v>0.712094999999993</v>
      </c>
      <c r="H27" s="1">
        <v>75.2188</v>
      </c>
      <c r="I27" s="1">
        <v>-3.9367</v>
      </c>
      <c r="J27" s="1">
        <v>12.3301</v>
      </c>
      <c r="K27" s="22" t="s">
        <v>31</v>
      </c>
      <c r="L27" s="1">
        <v>0.925057999999964</v>
      </c>
      <c r="M27" s="1">
        <v>70.723</v>
      </c>
      <c r="N27" s="1">
        <v>-8.4325</v>
      </c>
      <c r="O27" s="1">
        <v>5.6764</v>
      </c>
      <c r="P27" s="7">
        <v>575.0</v>
      </c>
      <c r="Q27" s="1">
        <v>0.984039999999931</v>
      </c>
      <c r="R27" s="1">
        <v>79.1111</v>
      </c>
      <c r="S27" s="1">
        <v>-0.0445</v>
      </c>
      <c r="T27" s="1">
        <v>3.6035</v>
      </c>
      <c r="U27" s="1">
        <f t="shared" si="1"/>
        <v>3.753259453</v>
      </c>
      <c r="V27" s="1">
        <v>0.948213999999948</v>
      </c>
      <c r="W27" s="1">
        <v>0.999996999999999</v>
      </c>
    </row>
    <row r="28">
      <c r="A28" s="12" t="s">
        <v>36</v>
      </c>
      <c r="B28" s="4">
        <v>0.479223999999999</v>
      </c>
      <c r="C28" s="4">
        <v>39.5777</v>
      </c>
      <c r="D28" s="4">
        <v>-39.5779</v>
      </c>
      <c r="E28" s="4">
        <v>8.8905</v>
      </c>
      <c r="F28" s="16" t="s">
        <v>56</v>
      </c>
      <c r="G28" s="4">
        <v>0.757098999999989</v>
      </c>
      <c r="H28" s="4">
        <v>75.5988</v>
      </c>
      <c r="I28" s="4">
        <v>-3.5568</v>
      </c>
      <c r="J28" s="4">
        <v>11.3106</v>
      </c>
      <c r="K28" s="22" t="s">
        <v>34</v>
      </c>
      <c r="L28" s="1">
        <v>0.793751999999988</v>
      </c>
      <c r="M28" s="1">
        <v>65.9686</v>
      </c>
      <c r="N28" s="1">
        <v>-13.187</v>
      </c>
      <c r="O28" s="1">
        <v>7.0914</v>
      </c>
      <c r="P28" s="7">
        <v>600.0</v>
      </c>
      <c r="Q28" s="1">
        <v>0.987619999999934</v>
      </c>
      <c r="R28" s="1">
        <v>78.5645</v>
      </c>
      <c r="S28" s="1">
        <v>-0.591</v>
      </c>
      <c r="T28" s="1">
        <v>3.342</v>
      </c>
      <c r="U28" s="1">
        <f t="shared" si="1"/>
        <v>3.674234614</v>
      </c>
      <c r="V28" s="1">
        <v>0.949525999999949</v>
      </c>
      <c r="W28" s="1">
        <v>0.999999</v>
      </c>
    </row>
    <row r="29">
      <c r="A29" s="12" t="s">
        <v>108</v>
      </c>
      <c r="B29" s="4">
        <v>8.76999999999986E-4</v>
      </c>
      <c r="C29" s="4">
        <v>0.0</v>
      </c>
      <c r="D29" s="4">
        <v>-79.1556</v>
      </c>
      <c r="E29" s="4">
        <v>12.6868</v>
      </c>
      <c r="F29" s="16" t="s">
        <v>57</v>
      </c>
      <c r="G29" s="1">
        <v>0.808582999999987</v>
      </c>
      <c r="H29" s="1">
        <v>76.2526</v>
      </c>
      <c r="I29" s="1">
        <v>-2.903</v>
      </c>
      <c r="J29" s="1">
        <v>9.8087</v>
      </c>
      <c r="K29" s="22" t="s">
        <v>37</v>
      </c>
      <c r="L29" s="1">
        <v>0.485953999999998</v>
      </c>
      <c r="M29" s="1">
        <v>52.677</v>
      </c>
      <c r="N29" s="1">
        <v>-26.4786</v>
      </c>
      <c r="O29" s="1">
        <v>9.6496</v>
      </c>
      <c r="P29" s="7">
        <v>625.0</v>
      </c>
      <c r="Q29" s="1">
        <v>0.987292999999931</v>
      </c>
      <c r="R29" s="1">
        <v>78.9612</v>
      </c>
      <c r="S29" s="1">
        <v>-0.1944</v>
      </c>
      <c r="T29" s="1">
        <v>3.4578</v>
      </c>
      <c r="U29" s="1">
        <f t="shared" si="1"/>
        <v>3.6</v>
      </c>
      <c r="V29" s="1">
        <v>0.948246999999946</v>
      </c>
      <c r="W29" s="1">
        <v>0.999997999999999</v>
      </c>
    </row>
    <row r="30">
      <c r="A30" s="12" t="s">
        <v>39</v>
      </c>
      <c r="B30" s="4">
        <v>0.837161999999981</v>
      </c>
      <c r="C30" s="4">
        <v>87.686</v>
      </c>
      <c r="D30" s="4">
        <v>8.5305</v>
      </c>
      <c r="E30" s="4">
        <v>4.4475</v>
      </c>
      <c r="F30" s="16" t="s">
        <v>58</v>
      </c>
      <c r="G30" s="1">
        <v>0.855735999999981</v>
      </c>
      <c r="H30" s="1">
        <v>77.3782</v>
      </c>
      <c r="I30" s="1">
        <v>-1.7773</v>
      </c>
      <c r="J30" s="1">
        <v>7.6646</v>
      </c>
      <c r="K30" s="22" t="s">
        <v>109</v>
      </c>
      <c r="L30" s="1">
        <v>0.257509999999999</v>
      </c>
      <c r="M30" s="1">
        <v>2.647</v>
      </c>
      <c r="N30" s="1">
        <v>-76.5085</v>
      </c>
      <c r="O30" s="1">
        <v>11.512</v>
      </c>
      <c r="P30" s="7">
        <v>650.0</v>
      </c>
      <c r="Q30" s="1">
        <v>0.988421999999937</v>
      </c>
      <c r="R30" s="1">
        <v>78.7385</v>
      </c>
      <c r="S30" s="1">
        <v>-0.417</v>
      </c>
      <c r="T30" s="1">
        <v>3.4765</v>
      </c>
      <c r="U30" s="1">
        <f t="shared" si="1"/>
        <v>3.530090432</v>
      </c>
      <c r="V30" s="1">
        <v>0.94863399999995</v>
      </c>
      <c r="W30" s="1">
        <v>0.999999</v>
      </c>
    </row>
    <row r="31">
      <c r="A31" s="12" t="s">
        <v>42</v>
      </c>
      <c r="B31" s="4">
        <v>0.793696999999988</v>
      </c>
      <c r="C31" s="4">
        <v>89.4007</v>
      </c>
      <c r="D31" s="4">
        <v>10.2451</v>
      </c>
      <c r="E31" s="4">
        <v>4.9703</v>
      </c>
      <c r="F31" s="16" t="s">
        <v>59</v>
      </c>
      <c r="G31" s="1">
        <v>0.869134999999973</v>
      </c>
      <c r="H31" s="1">
        <v>79.2942</v>
      </c>
      <c r="I31" s="1">
        <v>0.1387</v>
      </c>
      <c r="J31" s="1">
        <v>5.0283</v>
      </c>
      <c r="K31" s="21" t="s">
        <v>113</v>
      </c>
      <c r="M31" s="1" t="s">
        <v>8</v>
      </c>
      <c r="N31" s="1" t="s">
        <v>14</v>
      </c>
      <c r="O31" s="1" t="s">
        <v>15</v>
      </c>
      <c r="P31" s="7">
        <v>675.0</v>
      </c>
      <c r="Q31" s="1">
        <v>0.989016999999937</v>
      </c>
      <c r="R31" s="1">
        <v>78.8372</v>
      </c>
      <c r="S31" s="1">
        <v>-0.3183</v>
      </c>
      <c r="T31" s="1">
        <v>3.4267</v>
      </c>
      <c r="U31" s="1">
        <f t="shared" si="1"/>
        <v>3.464101615</v>
      </c>
      <c r="V31" s="1">
        <v>0.949649999999946</v>
      </c>
      <c r="W31" s="1">
        <v>1.0</v>
      </c>
    </row>
    <row r="32">
      <c r="A32" s="12" t="s">
        <v>44</v>
      </c>
      <c r="B32" s="4">
        <v>0.739096999999994</v>
      </c>
      <c r="C32" s="4">
        <v>91.6939</v>
      </c>
      <c r="D32" s="4">
        <v>12.5383</v>
      </c>
      <c r="E32" s="4">
        <v>5.5782</v>
      </c>
      <c r="F32" s="16" t="s">
        <v>60</v>
      </c>
      <c r="G32" s="1">
        <v>0.812880999999984</v>
      </c>
      <c r="H32" s="1">
        <v>82.3749</v>
      </c>
      <c r="I32" s="1">
        <v>3.2193</v>
      </c>
      <c r="J32" s="1">
        <v>4.6314</v>
      </c>
      <c r="K32" s="22" t="s">
        <v>19</v>
      </c>
      <c r="L32" s="1">
        <v>0.980362999999959</v>
      </c>
      <c r="M32" s="1">
        <v>82.1578</v>
      </c>
      <c r="N32" s="1">
        <v>3.0022</v>
      </c>
      <c r="O32" s="1">
        <v>3.5646</v>
      </c>
      <c r="P32" s="7">
        <v>700.0</v>
      </c>
      <c r="Q32" s="1">
        <v>0.99209599999994</v>
      </c>
      <c r="R32" s="1">
        <v>79.1371</v>
      </c>
      <c r="S32" s="1">
        <v>-0.0184</v>
      </c>
      <c r="T32" s="1">
        <v>3.2254</v>
      </c>
      <c r="U32" s="1">
        <f t="shared" si="1"/>
        <v>3.401680257</v>
      </c>
      <c r="V32" s="1">
        <v>0.949430999999948</v>
      </c>
      <c r="W32" s="1">
        <v>0.999995</v>
      </c>
    </row>
    <row r="33">
      <c r="A33" s="12" t="s">
        <v>45</v>
      </c>
      <c r="B33" s="4">
        <v>0.669769999999997</v>
      </c>
      <c r="C33" s="4">
        <v>95.0003</v>
      </c>
      <c r="D33" s="4">
        <v>15.8448</v>
      </c>
      <c r="E33" s="4">
        <v>6.2877</v>
      </c>
      <c r="F33" s="16" t="s">
        <v>61</v>
      </c>
      <c r="G33" s="1">
        <v>0.769495999999989</v>
      </c>
      <c r="H33" s="1">
        <v>86.4362</v>
      </c>
      <c r="I33" s="1">
        <v>7.2807</v>
      </c>
      <c r="J33" s="1">
        <v>8.7366</v>
      </c>
      <c r="K33" s="22" t="s">
        <v>22</v>
      </c>
      <c r="L33" s="1">
        <v>0.968850999999954</v>
      </c>
      <c r="M33" s="1">
        <v>82.8156</v>
      </c>
      <c r="N33" s="1">
        <v>3.6601</v>
      </c>
      <c r="O33" s="1">
        <v>4.0653</v>
      </c>
      <c r="P33" s="7">
        <v>725.0</v>
      </c>
      <c r="Q33" s="1">
        <v>0.992223999999943</v>
      </c>
      <c r="R33" s="1">
        <v>78.9807</v>
      </c>
      <c r="S33" s="1">
        <v>-0.1748</v>
      </c>
      <c r="T33" s="1">
        <v>3.1928</v>
      </c>
      <c r="U33" s="1">
        <f t="shared" si="1"/>
        <v>3.342516087</v>
      </c>
      <c r="V33" s="1">
        <v>0.94987699999995</v>
      </c>
      <c r="W33" s="1">
        <v>1.0</v>
      </c>
    </row>
    <row r="34">
      <c r="A34" s="12" t="s">
        <v>46</v>
      </c>
      <c r="B34" s="4">
        <v>0.579816999999997</v>
      </c>
      <c r="C34" s="4">
        <v>100.1478</v>
      </c>
      <c r="D34" s="4">
        <v>20.9922</v>
      </c>
      <c r="E34" s="4">
        <v>7.2223</v>
      </c>
      <c r="F34" s="23" t="s">
        <v>114</v>
      </c>
      <c r="K34" s="22" t="s">
        <v>25</v>
      </c>
      <c r="L34" s="1">
        <v>0.949846999999955</v>
      </c>
      <c r="M34" s="1">
        <v>83.7496</v>
      </c>
      <c r="N34" s="1">
        <v>4.594</v>
      </c>
      <c r="O34" s="1">
        <v>4.6742</v>
      </c>
      <c r="P34" s="7">
        <v>750.0</v>
      </c>
      <c r="Q34" s="1">
        <v>0.993182999999946</v>
      </c>
      <c r="R34" s="1">
        <v>79.8518</v>
      </c>
      <c r="S34" s="1">
        <v>0.6962</v>
      </c>
      <c r="T34" s="1">
        <v>3.3046</v>
      </c>
      <c r="U34" s="1">
        <f t="shared" si="1"/>
        <v>3.286335345</v>
      </c>
      <c r="V34" s="1">
        <v>0.94924799999995</v>
      </c>
      <c r="W34" s="1">
        <v>1.0</v>
      </c>
    </row>
    <row r="35">
      <c r="A35" s="12" t="s">
        <v>47</v>
      </c>
      <c r="B35" s="4">
        <v>0.46065</v>
      </c>
      <c r="C35" s="4">
        <v>108.6314</v>
      </c>
      <c r="D35" s="4">
        <v>29.4759</v>
      </c>
      <c r="E35" s="4">
        <v>8.4815</v>
      </c>
      <c r="F35" s="24" t="s">
        <v>51</v>
      </c>
      <c r="G35" s="4">
        <v>0.695330999999995</v>
      </c>
      <c r="H35" s="4">
        <v>79.7544</v>
      </c>
      <c r="I35" s="4">
        <v>0.5988</v>
      </c>
      <c r="J35" s="4">
        <v>7.6876</v>
      </c>
      <c r="K35" s="22" t="s">
        <v>28</v>
      </c>
      <c r="L35" s="1">
        <v>0.916098999999961</v>
      </c>
      <c r="M35" s="1">
        <v>85.2459</v>
      </c>
      <c r="N35" s="1">
        <v>6.0903</v>
      </c>
      <c r="O35" s="1">
        <v>5.4566</v>
      </c>
      <c r="P35" s="7">
        <v>775.0</v>
      </c>
      <c r="Q35" s="1">
        <v>0.992797999999945</v>
      </c>
      <c r="R35" s="1">
        <v>78.6045</v>
      </c>
      <c r="S35" s="1">
        <v>-0.551</v>
      </c>
      <c r="T35" s="1">
        <v>3.2898</v>
      </c>
      <c r="U35" s="1">
        <f t="shared" si="1"/>
        <v>3.232895436</v>
      </c>
      <c r="V35" s="1">
        <v>0.949706999999947</v>
      </c>
      <c r="W35" s="1">
        <v>1.0</v>
      </c>
    </row>
    <row r="36">
      <c r="A36" s="12" t="s">
        <v>48</v>
      </c>
      <c r="B36" s="4">
        <v>0.310671000000001</v>
      </c>
      <c r="C36" s="4">
        <v>126.425</v>
      </c>
      <c r="D36" s="4">
        <v>47.2694</v>
      </c>
      <c r="E36" s="4">
        <v>10.3881</v>
      </c>
      <c r="F36" s="24" t="s">
        <v>52</v>
      </c>
      <c r="G36" s="4">
        <v>0.695329999999995</v>
      </c>
      <c r="H36" s="4">
        <v>79.7544</v>
      </c>
      <c r="I36" s="4">
        <v>0.5988</v>
      </c>
      <c r="J36" s="4">
        <v>7.6876</v>
      </c>
      <c r="K36" s="22" t="s">
        <v>31</v>
      </c>
      <c r="L36" s="1">
        <v>0.854506999999979</v>
      </c>
      <c r="M36" s="1">
        <v>87.8947</v>
      </c>
      <c r="N36" s="1">
        <v>8.7392</v>
      </c>
      <c r="O36" s="1">
        <v>6.5979</v>
      </c>
      <c r="P36" s="7">
        <v>800.0</v>
      </c>
      <c r="Q36" s="1">
        <v>0.995089999999953</v>
      </c>
      <c r="R36" s="1">
        <v>79.413</v>
      </c>
      <c r="S36" s="1">
        <v>0.2574</v>
      </c>
      <c r="T36" s="1">
        <v>3.0718</v>
      </c>
      <c r="U36" s="1">
        <f t="shared" si="1"/>
        <v>3.181980515</v>
      </c>
      <c r="V36" s="1">
        <v>0.949914999999948</v>
      </c>
      <c r="W36" s="1">
        <v>1.0</v>
      </c>
    </row>
    <row r="37">
      <c r="A37" s="12" t="s">
        <v>111</v>
      </c>
      <c r="B37" s="1">
        <v>0.00911800000000019</v>
      </c>
      <c r="C37" s="1">
        <v>179.9992</v>
      </c>
      <c r="D37" s="1">
        <v>100.8437</v>
      </c>
      <c r="E37" s="1">
        <v>12.6863</v>
      </c>
      <c r="F37" s="24" t="s">
        <v>53</v>
      </c>
      <c r="G37" s="4">
        <v>0.695339999999995</v>
      </c>
      <c r="H37" s="4">
        <v>79.7544</v>
      </c>
      <c r="I37" s="4">
        <v>0.5988</v>
      </c>
      <c r="J37" s="4">
        <v>7.6876</v>
      </c>
      <c r="K37" s="22" t="s">
        <v>34</v>
      </c>
      <c r="L37" s="1">
        <v>0.728441999999993</v>
      </c>
      <c r="M37" s="1">
        <v>93.0406</v>
      </c>
      <c r="N37" s="1">
        <v>13.885</v>
      </c>
      <c r="O37" s="1">
        <v>8.5027</v>
      </c>
      <c r="P37" s="7">
        <v>825.0</v>
      </c>
      <c r="Q37" s="1">
        <v>0.995274999999952</v>
      </c>
      <c r="R37" s="1">
        <v>79.244</v>
      </c>
      <c r="S37" s="1">
        <v>0.0884</v>
      </c>
      <c r="T37" s="1">
        <v>2.9988</v>
      </c>
      <c r="U37" s="1">
        <f t="shared" si="1"/>
        <v>3.133397807</v>
      </c>
      <c r="V37" s="1">
        <v>0.949935999999948</v>
      </c>
      <c r="W37" s="1">
        <v>0.999999</v>
      </c>
    </row>
    <row r="38">
      <c r="A38" s="15" t="s">
        <v>50</v>
      </c>
      <c r="F38" s="24" t="s">
        <v>54</v>
      </c>
      <c r="G38" s="4">
        <v>0.695384999999995</v>
      </c>
      <c r="H38" s="4">
        <v>79.7543</v>
      </c>
      <c r="I38" s="4">
        <v>0.5988</v>
      </c>
      <c r="J38" s="4">
        <v>7.6874</v>
      </c>
      <c r="K38" s="22" t="s">
        <v>37</v>
      </c>
      <c r="L38" s="1">
        <v>0.476500999999999</v>
      </c>
      <c r="M38" s="1">
        <v>107.5208</v>
      </c>
      <c r="N38" s="1">
        <v>28.3652</v>
      </c>
      <c r="O38" s="1">
        <v>12.0592</v>
      </c>
      <c r="P38" s="7">
        <v>850.0</v>
      </c>
      <c r="Q38" s="1">
        <v>0.995702999999957</v>
      </c>
      <c r="R38" s="1">
        <v>79.0801</v>
      </c>
      <c r="S38" s="1">
        <v>-0.0754</v>
      </c>
      <c r="T38" s="1">
        <v>2.9417</v>
      </c>
      <c r="U38" s="1">
        <f t="shared" si="1"/>
        <v>3.086974533</v>
      </c>
      <c r="V38" s="1">
        <v>0.950069999999945</v>
      </c>
      <c r="W38" s="1">
        <v>1.0</v>
      </c>
    </row>
    <row r="39">
      <c r="A39" s="16" t="s">
        <v>62</v>
      </c>
      <c r="B39" s="1">
        <v>0.529959</v>
      </c>
      <c r="C39" s="4">
        <v>39.7449</v>
      </c>
      <c r="D39" s="4">
        <v>-39.4107</v>
      </c>
      <c r="E39" s="4">
        <v>8.7695</v>
      </c>
      <c r="F39" s="24" t="s">
        <v>55</v>
      </c>
      <c r="G39" s="1">
        <v>0.695626999999995</v>
      </c>
      <c r="H39" s="4">
        <v>79.7544</v>
      </c>
      <c r="I39" s="4">
        <v>0.5988</v>
      </c>
      <c r="J39" s="4">
        <v>7.6861</v>
      </c>
      <c r="K39" s="22" t="s">
        <v>109</v>
      </c>
      <c r="L39" s="1">
        <v>0.256997</v>
      </c>
      <c r="M39" s="1">
        <v>173.7446</v>
      </c>
      <c r="N39" s="1">
        <v>94.589</v>
      </c>
      <c r="O39" s="1">
        <v>10.406</v>
      </c>
      <c r="P39" s="7">
        <v>875.0</v>
      </c>
      <c r="Q39" s="1">
        <v>0.996135999999962</v>
      </c>
      <c r="R39" s="1">
        <v>79.1584</v>
      </c>
      <c r="S39" s="1">
        <v>0.0029</v>
      </c>
      <c r="T39" s="1">
        <v>2.9262</v>
      </c>
      <c r="U39" s="1">
        <f t="shared" si="1"/>
        <v>3.042555317</v>
      </c>
      <c r="V39" s="1">
        <v>0.949925999999944</v>
      </c>
      <c r="W39" s="1">
        <v>1.0</v>
      </c>
    </row>
    <row r="40">
      <c r="A40" s="16" t="s">
        <v>63</v>
      </c>
      <c r="B40" s="1">
        <v>0.551108999999999</v>
      </c>
      <c r="C40" s="1">
        <v>39.8639</v>
      </c>
      <c r="D40" s="1">
        <v>-39.2917</v>
      </c>
      <c r="E40" s="1">
        <v>8.7031</v>
      </c>
      <c r="F40" s="24" t="s">
        <v>56</v>
      </c>
      <c r="G40" s="4">
        <v>0.696956999999998</v>
      </c>
      <c r="H40" s="4">
        <v>79.7544</v>
      </c>
      <c r="I40" s="4">
        <v>0.5989</v>
      </c>
      <c r="J40" s="4">
        <v>7.6783</v>
      </c>
      <c r="K40" s="21" t="s">
        <v>115</v>
      </c>
      <c r="M40" s="1" t="s">
        <v>8</v>
      </c>
      <c r="N40" s="1" t="s">
        <v>14</v>
      </c>
      <c r="O40" s="1" t="s">
        <v>15</v>
      </c>
      <c r="P40" s="7">
        <v>900.0</v>
      </c>
      <c r="Q40" s="1">
        <v>0.996736999999964</v>
      </c>
      <c r="R40" s="1">
        <v>79.6797</v>
      </c>
      <c r="S40" s="1">
        <v>0.5241</v>
      </c>
      <c r="T40" s="1">
        <v>2.9415</v>
      </c>
      <c r="U40" s="1">
        <f t="shared" si="1"/>
        <v>3</v>
      </c>
      <c r="V40" s="1">
        <v>0.950601999999946</v>
      </c>
      <c r="W40" s="1">
        <v>1.0</v>
      </c>
    </row>
    <row r="41">
      <c r="A41" s="16" t="s">
        <v>64</v>
      </c>
      <c r="B41" s="1">
        <v>0.580123000000003</v>
      </c>
      <c r="C41" s="1">
        <v>40.0655</v>
      </c>
      <c r="D41" s="1">
        <v>-39.09</v>
      </c>
      <c r="E41" s="1">
        <v>8.6055</v>
      </c>
      <c r="F41" s="24" t="s">
        <v>57</v>
      </c>
      <c r="G41" s="1">
        <v>0.703058999999996</v>
      </c>
      <c r="H41" s="1">
        <v>79.7552</v>
      </c>
      <c r="I41" s="1">
        <v>0.5997</v>
      </c>
      <c r="J41" s="1">
        <v>7.6344</v>
      </c>
      <c r="K41" s="22" t="s">
        <v>19</v>
      </c>
      <c r="L41" s="1">
        <v>0.998878999999993</v>
      </c>
      <c r="M41" s="1">
        <v>78.6804</v>
      </c>
      <c r="N41" s="1">
        <v>-0.4752</v>
      </c>
      <c r="O41" s="1">
        <v>2.9347</v>
      </c>
      <c r="P41" s="7">
        <v>925.0</v>
      </c>
      <c r="Q41" s="1">
        <v>0.997039999999967</v>
      </c>
      <c r="R41" s="1">
        <v>79.4065</v>
      </c>
      <c r="S41" s="1">
        <v>0.251</v>
      </c>
      <c r="T41" s="1">
        <v>2.8584</v>
      </c>
      <c r="U41" s="1">
        <f t="shared" si="1"/>
        <v>2.959181771</v>
      </c>
      <c r="V41" s="1">
        <v>0.950453999999947</v>
      </c>
      <c r="W41" s="1">
        <v>1.0</v>
      </c>
    </row>
    <row r="42">
      <c r="A42" s="16" t="s">
        <v>65</v>
      </c>
      <c r="B42" s="1">
        <v>0.618673999999997</v>
      </c>
      <c r="C42" s="1">
        <v>40.4083</v>
      </c>
      <c r="D42" s="1">
        <v>-38.7473</v>
      </c>
      <c r="E42" s="1">
        <v>8.4645</v>
      </c>
      <c r="F42" s="24" t="s">
        <v>58</v>
      </c>
      <c r="G42" s="1">
        <v>0.724011999999993</v>
      </c>
      <c r="H42" s="1">
        <v>79.7686</v>
      </c>
      <c r="I42" s="1">
        <v>0.6131</v>
      </c>
      <c r="J42" s="1">
        <v>7.4071</v>
      </c>
      <c r="K42" s="22" t="s">
        <v>22</v>
      </c>
      <c r="L42" s="1">
        <v>0.997282999999988</v>
      </c>
      <c r="M42" s="1">
        <v>78.5358</v>
      </c>
      <c r="N42" s="1">
        <v>-0.6197</v>
      </c>
      <c r="O42" s="1">
        <v>3.3831</v>
      </c>
      <c r="P42" s="7">
        <v>950.0</v>
      </c>
      <c r="Q42" s="1">
        <v>0.997361999999971</v>
      </c>
      <c r="R42" s="1">
        <v>79.4058</v>
      </c>
      <c r="S42" s="1">
        <v>0.2502</v>
      </c>
      <c r="T42" s="1">
        <v>2.8267</v>
      </c>
      <c r="U42" s="1">
        <f t="shared" si="1"/>
        <v>2.91998558</v>
      </c>
      <c r="V42" s="1">
        <v>0.950474999999946</v>
      </c>
      <c r="W42" s="1">
        <v>0.999997999999999</v>
      </c>
    </row>
    <row r="43">
      <c r="A43" s="16" t="s">
        <v>66</v>
      </c>
      <c r="B43" s="1">
        <v>0.669711999999994</v>
      </c>
      <c r="C43" s="1">
        <v>40.9943</v>
      </c>
      <c r="D43" s="1">
        <v>-38.1613</v>
      </c>
      <c r="E43" s="1">
        <v>8.2658</v>
      </c>
      <c r="F43" s="24" t="s">
        <v>59</v>
      </c>
      <c r="G43" s="1">
        <v>0.767501999999987</v>
      </c>
      <c r="H43" s="1">
        <v>79.9337</v>
      </c>
      <c r="I43" s="1">
        <v>0.7781</v>
      </c>
      <c r="J43" s="1">
        <v>6.4841</v>
      </c>
      <c r="K43" s="22" t="s">
        <v>25</v>
      </c>
      <c r="L43" s="1">
        <v>0.993093999999976</v>
      </c>
      <c r="M43" s="1">
        <v>78.3378</v>
      </c>
      <c r="N43" s="1">
        <v>-0.8178</v>
      </c>
      <c r="O43" s="1">
        <v>3.9542</v>
      </c>
      <c r="P43" s="7">
        <v>975.0</v>
      </c>
      <c r="Q43" s="1">
        <v>0.99757999999997</v>
      </c>
      <c r="R43" s="1">
        <v>79.239</v>
      </c>
      <c r="S43" s="1">
        <v>0.0834</v>
      </c>
      <c r="T43" s="1">
        <v>2.7583</v>
      </c>
      <c r="U43" s="1">
        <f t="shared" si="1"/>
        <v>2.882306768</v>
      </c>
      <c r="V43" s="1">
        <v>0.950437999999948</v>
      </c>
      <c r="W43" s="1">
        <v>1.0</v>
      </c>
    </row>
    <row r="44">
      <c r="A44" s="16" t="s">
        <v>67</v>
      </c>
      <c r="B44" s="4">
        <v>0.736245999999995</v>
      </c>
      <c r="C44" s="4">
        <v>42.0063</v>
      </c>
      <c r="D44" s="4">
        <v>-37.1493</v>
      </c>
      <c r="E44" s="4">
        <v>7.9952</v>
      </c>
      <c r="F44" s="24" t="s">
        <v>60</v>
      </c>
      <c r="G44" s="1">
        <v>0.818402999999982</v>
      </c>
      <c r="H44" s="1">
        <v>81.0693</v>
      </c>
      <c r="I44" s="1">
        <v>1.9137</v>
      </c>
      <c r="J44" s="1">
        <v>4.6088</v>
      </c>
      <c r="K44" s="22" t="s">
        <v>28</v>
      </c>
      <c r="L44" s="1">
        <v>0.98129799999996</v>
      </c>
      <c r="M44" s="1">
        <v>78.0875</v>
      </c>
      <c r="N44" s="1">
        <v>-1.0681</v>
      </c>
      <c r="O44" s="1">
        <v>4.7295</v>
      </c>
      <c r="P44" s="7">
        <v>1000.0</v>
      </c>
      <c r="Q44" s="1">
        <v>0.997899999999973</v>
      </c>
      <c r="R44" s="1">
        <v>79.0593</v>
      </c>
      <c r="S44" s="1">
        <v>-0.0962</v>
      </c>
      <c r="T44" s="1">
        <v>2.7168</v>
      </c>
      <c r="U44" s="1">
        <f t="shared" si="1"/>
        <v>2.846049894</v>
      </c>
      <c r="V44" s="1">
        <v>0.950370999999946</v>
      </c>
      <c r="W44" s="1">
        <v>1.0</v>
      </c>
    </row>
    <row r="45">
      <c r="A45" s="16" t="s">
        <v>68</v>
      </c>
      <c r="B45" s="1">
        <v>0.815830999999986</v>
      </c>
      <c r="C45" s="1">
        <v>43.7845</v>
      </c>
      <c r="D45" s="1">
        <v>-35.3711</v>
      </c>
      <c r="E45" s="1">
        <v>7.6475</v>
      </c>
      <c r="F45" s="24" t="s">
        <v>61</v>
      </c>
      <c r="G45" s="1">
        <v>0.884582999999971</v>
      </c>
      <c r="H45" s="1">
        <v>84.4375</v>
      </c>
      <c r="I45" s="1">
        <v>5.282</v>
      </c>
      <c r="J45" s="1">
        <v>6.4774</v>
      </c>
      <c r="K45" s="22" t="s">
        <v>31</v>
      </c>
      <c r="L45" s="1">
        <v>0.946605999999956</v>
      </c>
      <c r="M45" s="1">
        <v>77.7653</v>
      </c>
      <c r="N45" s="1">
        <v>-1.3902</v>
      </c>
      <c r="O45" s="1">
        <v>5.9311</v>
      </c>
    </row>
    <row r="46">
      <c r="A46" s="16" t="s">
        <v>69</v>
      </c>
      <c r="B46" s="1">
        <v>0.896695999999972</v>
      </c>
      <c r="C46" s="1">
        <v>47.0043</v>
      </c>
      <c r="D46" s="1">
        <v>-32.1513</v>
      </c>
      <c r="E46" s="1">
        <v>7.255</v>
      </c>
      <c r="K46" s="22" t="s">
        <v>34</v>
      </c>
      <c r="L46" s="1">
        <v>0.84634599999998</v>
      </c>
      <c r="M46" s="1">
        <v>77.0193</v>
      </c>
      <c r="N46" s="1">
        <v>-2.1362</v>
      </c>
      <c r="O46" s="1">
        <v>8.1821</v>
      </c>
    </row>
    <row r="47">
      <c r="A47" s="16" t="s">
        <v>70</v>
      </c>
      <c r="B47" s="1">
        <v>0.934249999999954</v>
      </c>
      <c r="C47" s="1">
        <v>53.1469</v>
      </c>
      <c r="D47" s="1">
        <v>-26.0087</v>
      </c>
      <c r="E47" s="1">
        <v>6.9784</v>
      </c>
      <c r="K47" s="22" t="s">
        <v>37</v>
      </c>
      <c r="L47" s="1">
        <v>0.580676000000001</v>
      </c>
      <c r="M47" s="1">
        <v>74.6944</v>
      </c>
      <c r="N47" s="1">
        <v>-4.4612</v>
      </c>
      <c r="O47" s="1">
        <v>14.3011</v>
      </c>
    </row>
    <row r="48">
      <c r="A48" s="16" t="s">
        <v>71</v>
      </c>
      <c r="B48" s="1">
        <v>0.77079399999999</v>
      </c>
      <c r="C48" s="1">
        <v>65.9409</v>
      </c>
      <c r="D48" s="1">
        <v>-13.2147</v>
      </c>
      <c r="E48" s="1">
        <v>7.3087</v>
      </c>
      <c r="K48" s="22" t="s">
        <v>109</v>
      </c>
      <c r="L48" s="1">
        <v>0.257536999999999</v>
      </c>
      <c r="M48" s="1">
        <v>61.3278</v>
      </c>
      <c r="N48" s="1">
        <v>-17.8278</v>
      </c>
      <c r="O48" s="1">
        <v>43.4217</v>
      </c>
    </row>
    <row r="49">
      <c r="A49" s="16" t="s">
        <v>72</v>
      </c>
      <c r="B49" s="1">
        <v>0.0662419999999959</v>
      </c>
      <c r="C49" s="1">
        <v>97.0131</v>
      </c>
      <c r="D49" s="1">
        <v>17.8575</v>
      </c>
      <c r="E49" s="1">
        <v>8.8453</v>
      </c>
      <c r="K49" s="21" t="s">
        <v>112</v>
      </c>
      <c r="M49" s="1" t="s">
        <v>8</v>
      </c>
      <c r="N49" s="1" t="s">
        <v>14</v>
      </c>
      <c r="O49" s="1" t="s">
        <v>15</v>
      </c>
    </row>
    <row r="50">
      <c r="A50" s="16" t="s">
        <v>73</v>
      </c>
      <c r="B50" s="4">
        <v>0.310696000000001</v>
      </c>
      <c r="C50" s="4">
        <v>126.216</v>
      </c>
      <c r="D50" s="4">
        <v>47.0604</v>
      </c>
      <c r="E50" s="4">
        <v>10.0694</v>
      </c>
      <c r="K50" s="22" t="s">
        <v>116</v>
      </c>
      <c r="L50" s="1">
        <v>0.999288999999995</v>
      </c>
      <c r="M50" s="1">
        <v>76.1546</v>
      </c>
      <c r="N50" s="1">
        <v>-2.8999</v>
      </c>
      <c r="O50" s="1">
        <v>3.1865</v>
      </c>
    </row>
    <row r="51">
      <c r="A51" s="16" t="s">
        <v>74</v>
      </c>
      <c r="B51" s="1">
        <v>0.310784</v>
      </c>
      <c r="C51" s="1">
        <v>126.1082</v>
      </c>
      <c r="D51" s="1">
        <v>46.9526</v>
      </c>
      <c r="E51" s="1">
        <v>9.9891</v>
      </c>
      <c r="K51" s="22" t="s">
        <v>117</v>
      </c>
      <c r="L51" s="1">
        <v>0.99790899999999</v>
      </c>
      <c r="M51" s="1">
        <v>75.4569</v>
      </c>
      <c r="N51" s="1">
        <v>-3.5976</v>
      </c>
      <c r="O51" s="1">
        <v>3.6027</v>
      </c>
    </row>
    <row r="52">
      <c r="A52" s="16" t="s">
        <v>75</v>
      </c>
      <c r="B52" s="1">
        <v>0.311050000000001</v>
      </c>
      <c r="C52" s="1">
        <v>125.9255</v>
      </c>
      <c r="D52" s="1">
        <v>46.77</v>
      </c>
      <c r="E52" s="1">
        <v>9.869</v>
      </c>
      <c r="K52" s="22" t="s">
        <v>118</v>
      </c>
      <c r="L52" s="1">
        <v>0.994281999999978</v>
      </c>
      <c r="M52" s="1">
        <v>74.4978</v>
      </c>
      <c r="N52" s="1">
        <v>-4.5567</v>
      </c>
      <c r="O52" s="1">
        <v>4.0924</v>
      </c>
    </row>
    <row r="53">
      <c r="A53" s="16" t="s">
        <v>76</v>
      </c>
      <c r="B53" s="1">
        <v>0.312082</v>
      </c>
      <c r="C53" s="1">
        <v>125.6151</v>
      </c>
      <c r="D53" s="1">
        <v>46.4595</v>
      </c>
      <c r="E53" s="1">
        <v>9.6919</v>
      </c>
      <c r="K53" s="22" t="s">
        <v>119</v>
      </c>
      <c r="L53" s="1">
        <v>0.984125999999966</v>
      </c>
      <c r="M53" s="1">
        <v>73.1119</v>
      </c>
      <c r="N53" s="1">
        <v>-5.9426</v>
      </c>
      <c r="O53" s="1">
        <v>4.685</v>
      </c>
    </row>
    <row r="54">
      <c r="A54" s="16" t="s">
        <v>77</v>
      </c>
      <c r="B54" s="1">
        <v>0.315064000000001</v>
      </c>
      <c r="C54" s="1">
        <v>125.085</v>
      </c>
      <c r="D54" s="1">
        <v>45.9295</v>
      </c>
      <c r="E54" s="1">
        <v>9.4352</v>
      </c>
      <c r="K54" s="22" t="s">
        <v>120</v>
      </c>
      <c r="L54" s="1">
        <v>0.959106999999957</v>
      </c>
      <c r="M54" s="1">
        <v>71.0399</v>
      </c>
      <c r="N54" s="1">
        <v>-8.0145</v>
      </c>
      <c r="O54" s="1">
        <v>5.3777</v>
      </c>
    </row>
    <row r="55">
      <c r="A55" s="16" t="s">
        <v>78</v>
      </c>
      <c r="B55" s="4">
        <v>0.323004</v>
      </c>
      <c r="C55" s="4">
        <v>124.1723</v>
      </c>
      <c r="D55" s="4">
        <v>45.0168</v>
      </c>
      <c r="E55" s="4">
        <v>9.0711</v>
      </c>
      <c r="K55" s="22" t="s">
        <v>121</v>
      </c>
      <c r="L55" s="1">
        <v>0.895629999999971</v>
      </c>
      <c r="M55" s="1">
        <v>67.4676</v>
      </c>
      <c r="N55" s="1">
        <v>-11.5869</v>
      </c>
      <c r="O55" s="1">
        <v>6.2559</v>
      </c>
    </row>
    <row r="56">
      <c r="A56" s="16" t="s">
        <v>79</v>
      </c>
      <c r="B56" s="1">
        <v>0.340748</v>
      </c>
      <c r="C56" s="1">
        <v>122.5762</v>
      </c>
      <c r="D56" s="1">
        <v>43.4207</v>
      </c>
      <c r="E56" s="1">
        <v>8.57</v>
      </c>
      <c r="K56" s="22" t="s">
        <v>122</v>
      </c>
      <c r="L56" s="1">
        <v>0.729268999999993</v>
      </c>
      <c r="M56" s="1">
        <v>60.2133</v>
      </c>
      <c r="N56" s="1">
        <v>-18.8422</v>
      </c>
      <c r="O56" s="1">
        <v>7.4374</v>
      </c>
    </row>
    <row r="57">
      <c r="A57" s="16" t="s">
        <v>80</v>
      </c>
      <c r="B57" s="1">
        <v>0.379340000000001</v>
      </c>
      <c r="C57" s="1">
        <v>119.704</v>
      </c>
      <c r="D57" s="1">
        <v>40.5485</v>
      </c>
      <c r="E57" s="1">
        <v>7.9169</v>
      </c>
      <c r="K57" s="22" t="s">
        <v>123</v>
      </c>
      <c r="L57" s="9">
        <v>0.257528999999999</v>
      </c>
      <c r="M57" s="9">
        <v>37.0408</v>
      </c>
      <c r="N57" s="9">
        <v>-42.0136</v>
      </c>
      <c r="O57" s="9">
        <v>9.5108</v>
      </c>
    </row>
    <row r="58">
      <c r="A58" s="16" t="s">
        <v>81</v>
      </c>
      <c r="B58" s="1">
        <v>0.458388</v>
      </c>
      <c r="C58" s="1">
        <v>114.2524</v>
      </c>
      <c r="D58" s="1">
        <v>35.0969</v>
      </c>
      <c r="E58" s="1">
        <v>7.1728</v>
      </c>
      <c r="K58" s="21" t="s">
        <v>113</v>
      </c>
      <c r="M58" s="1" t="s">
        <v>8</v>
      </c>
      <c r="N58" s="1" t="s">
        <v>14</v>
      </c>
      <c r="O58" s="1" t="s">
        <v>15</v>
      </c>
    </row>
    <row r="59">
      <c r="A59" s="16" t="s">
        <v>82</v>
      </c>
      <c r="B59" s="1">
        <v>0.608822999999997</v>
      </c>
      <c r="C59" s="1">
        <v>102.8488</v>
      </c>
      <c r="D59" s="1">
        <v>23.6932</v>
      </c>
      <c r="E59" s="1">
        <v>6.6871</v>
      </c>
      <c r="K59" s="22" t="s">
        <v>124</v>
      </c>
      <c r="L59" s="1">
        <v>0.995837999999982</v>
      </c>
      <c r="M59" s="1">
        <v>58.5032</v>
      </c>
      <c r="N59" s="1">
        <v>-20.5512</v>
      </c>
      <c r="O59" s="1">
        <v>10.7927</v>
      </c>
    </row>
    <row r="60">
      <c r="A60" s="16" t="s">
        <v>83</v>
      </c>
      <c r="B60" s="1">
        <v>0.738058999999992</v>
      </c>
      <c r="C60" s="1">
        <v>74.0997</v>
      </c>
      <c r="D60" s="1">
        <v>-5.0559</v>
      </c>
      <c r="E60" s="1">
        <v>7.2473</v>
      </c>
      <c r="K60" s="22" t="s">
        <v>125</v>
      </c>
      <c r="L60" s="1">
        <v>0.992063999999976</v>
      </c>
      <c r="M60" s="1">
        <v>58.1353</v>
      </c>
      <c r="N60" s="1">
        <v>-20.9191</v>
      </c>
      <c r="O60" s="1">
        <v>10.6749</v>
      </c>
    </row>
    <row r="61">
      <c r="A61" s="23" t="s">
        <v>114</v>
      </c>
      <c r="K61" s="22" t="s">
        <v>126</v>
      </c>
      <c r="L61" s="1">
        <v>0.984948999999966</v>
      </c>
      <c r="M61" s="1">
        <v>57.6476</v>
      </c>
      <c r="N61" s="1">
        <v>-21.4069</v>
      </c>
      <c r="O61" s="1">
        <v>10.5462</v>
      </c>
    </row>
    <row r="62">
      <c r="A62" s="24" t="s">
        <v>62</v>
      </c>
      <c r="B62" s="4">
        <v>0.451626</v>
      </c>
      <c r="C62" s="4">
        <v>59.9521</v>
      </c>
      <c r="D62" s="4">
        <v>-19.2034</v>
      </c>
      <c r="E62" s="4">
        <v>8.5117</v>
      </c>
      <c r="K62" s="22" t="s">
        <v>127</v>
      </c>
      <c r="L62" s="1">
        <v>0.970789999999959</v>
      </c>
      <c r="M62" s="1">
        <v>56.9693</v>
      </c>
      <c r="N62" s="1">
        <v>-22.0852</v>
      </c>
      <c r="O62" s="1">
        <v>10.4086</v>
      </c>
    </row>
    <row r="63">
      <c r="A63" s="24" t="s">
        <v>63</v>
      </c>
      <c r="B63" s="1">
        <v>0.451647</v>
      </c>
      <c r="C63" s="4">
        <v>59.9522</v>
      </c>
      <c r="D63" s="4">
        <v>-19.2034</v>
      </c>
      <c r="E63" s="4">
        <v>8.5117</v>
      </c>
      <c r="K63" s="22" t="s">
        <v>128</v>
      </c>
      <c r="L63" s="1">
        <v>0.940879999999959</v>
      </c>
      <c r="M63" s="1">
        <v>55.97</v>
      </c>
      <c r="N63" s="1">
        <v>-23.0844</v>
      </c>
      <c r="O63" s="1">
        <v>10.2694</v>
      </c>
    </row>
    <row r="64">
      <c r="A64" s="24" t="s">
        <v>64</v>
      </c>
      <c r="B64" s="1">
        <v>0.451705</v>
      </c>
      <c r="C64" s="1">
        <v>59.9522</v>
      </c>
      <c r="D64" s="1">
        <v>-19.2034</v>
      </c>
      <c r="E64" s="4">
        <v>8.5117</v>
      </c>
      <c r="K64" s="22" t="s">
        <v>129</v>
      </c>
      <c r="L64" s="1">
        <v>0.875922999999974</v>
      </c>
      <c r="M64" s="1">
        <v>60.514</v>
      </c>
      <c r="N64" s="1">
        <v>-18.5405</v>
      </c>
      <c r="O64" s="1">
        <v>9.2677</v>
      </c>
    </row>
    <row r="65">
      <c r="A65" s="24" t="s">
        <v>65</v>
      </c>
      <c r="B65" s="1">
        <v>0.452</v>
      </c>
      <c r="C65" s="1">
        <v>59.9525</v>
      </c>
      <c r="D65" s="1">
        <v>-19.203</v>
      </c>
      <c r="E65" s="1">
        <v>8.5113</v>
      </c>
      <c r="K65" s="22" t="s">
        <v>130</v>
      </c>
      <c r="L65" s="1">
        <v>0.712669999999994</v>
      </c>
      <c r="M65" s="1">
        <v>57.1453</v>
      </c>
      <c r="N65" s="1">
        <v>-21.9092</v>
      </c>
      <c r="O65" s="1">
        <v>9.3869</v>
      </c>
    </row>
    <row r="66">
      <c r="A66" s="24" t="s">
        <v>66</v>
      </c>
      <c r="B66" s="1">
        <v>0.453349000000001</v>
      </c>
      <c r="C66" s="1">
        <v>59.9551</v>
      </c>
      <c r="D66" s="1">
        <v>-19.2005</v>
      </c>
      <c r="E66" s="1">
        <v>8.5091</v>
      </c>
      <c r="K66" s="22" t="s">
        <v>131</v>
      </c>
      <c r="L66" s="9">
        <v>0.257647</v>
      </c>
      <c r="M66" s="9">
        <v>130.6264</v>
      </c>
      <c r="N66" s="9">
        <v>51.5719</v>
      </c>
      <c r="O66" s="9">
        <v>9.9754</v>
      </c>
    </row>
    <row r="67">
      <c r="A67" s="24" t="s">
        <v>67</v>
      </c>
      <c r="B67" s="4">
        <v>0.458865000000001</v>
      </c>
      <c r="C67" s="4">
        <v>59.9715</v>
      </c>
      <c r="D67" s="4">
        <v>-19.184</v>
      </c>
      <c r="E67" s="4">
        <v>8.4968</v>
      </c>
      <c r="K67" s="21" t="s">
        <v>115</v>
      </c>
      <c r="M67" s="1" t="s">
        <v>8</v>
      </c>
      <c r="N67" s="1" t="s">
        <v>14</v>
      </c>
      <c r="O67" s="1" t="s">
        <v>15</v>
      </c>
    </row>
    <row r="68">
      <c r="A68" s="24" t="s">
        <v>68</v>
      </c>
      <c r="B68" s="1">
        <v>0.477235</v>
      </c>
      <c r="C68" s="1">
        <v>60.0669</v>
      </c>
      <c r="D68" s="1">
        <v>-19.0887</v>
      </c>
      <c r="E68" s="1">
        <v>8.4409</v>
      </c>
      <c r="K68" s="22" t="s">
        <v>132</v>
      </c>
      <c r="L68" s="1">
        <v>0.998881999999993</v>
      </c>
      <c r="M68" s="1">
        <v>78.5965</v>
      </c>
      <c r="N68" s="1">
        <v>-0.458</v>
      </c>
      <c r="O68" s="1">
        <v>2.9627</v>
      </c>
    </row>
    <row r="69">
      <c r="A69" s="24" t="s">
        <v>69</v>
      </c>
      <c r="B69" s="1">
        <v>0.528132999999998</v>
      </c>
      <c r="C69" s="1">
        <v>60.5775</v>
      </c>
      <c r="D69" s="1">
        <v>-18.578</v>
      </c>
      <c r="E69" s="1">
        <v>8.2286</v>
      </c>
      <c r="K69" s="22" t="s">
        <v>133</v>
      </c>
      <c r="L69" s="1">
        <v>0.997380999999988</v>
      </c>
      <c r="M69" s="1">
        <v>78.455</v>
      </c>
      <c r="N69" s="1">
        <v>-0.5994</v>
      </c>
      <c r="O69" s="1">
        <v>3.4092</v>
      </c>
    </row>
    <row r="70">
      <c r="A70" s="24" t="s">
        <v>70</v>
      </c>
      <c r="B70" s="1">
        <v>0.617700999999997</v>
      </c>
      <c r="C70" s="1">
        <v>63.0001</v>
      </c>
      <c r="D70" s="1">
        <v>-16.1555</v>
      </c>
      <c r="E70" s="1">
        <v>7.6249</v>
      </c>
      <c r="K70" s="22" t="s">
        <v>134</v>
      </c>
      <c r="L70" s="1">
        <v>0.993521999999976</v>
      </c>
      <c r="M70" s="1">
        <v>78.2627</v>
      </c>
      <c r="N70" s="1">
        <v>-0.7918</v>
      </c>
      <c r="O70" s="1">
        <v>3.972</v>
      </c>
    </row>
    <row r="71">
      <c r="A71" s="24" t="s">
        <v>71</v>
      </c>
      <c r="B71" s="1">
        <v>0.571528999999999</v>
      </c>
      <c r="C71" s="1">
        <v>72.4461</v>
      </c>
      <c r="D71" s="1">
        <v>-6.7095</v>
      </c>
      <c r="E71" s="1">
        <v>6.7047</v>
      </c>
      <c r="K71" s="22" t="s">
        <v>135</v>
      </c>
      <c r="L71" s="1">
        <v>0.983693999999967</v>
      </c>
      <c r="M71" s="1">
        <v>78.0303</v>
      </c>
      <c r="N71" s="1">
        <v>-1.0242</v>
      </c>
      <c r="O71" s="1">
        <v>4.7143</v>
      </c>
    </row>
    <row r="72">
      <c r="A72" s="24" t="s">
        <v>72</v>
      </c>
      <c r="B72" s="1">
        <v>0.174510999999992</v>
      </c>
      <c r="C72" s="1">
        <v>102.7732</v>
      </c>
      <c r="D72" s="1">
        <v>23.6177</v>
      </c>
      <c r="E72" s="1">
        <v>6.8495</v>
      </c>
      <c r="K72" s="22" t="s">
        <v>136</v>
      </c>
      <c r="L72" s="1">
        <v>0.958224999999957</v>
      </c>
      <c r="M72" s="1">
        <v>77.777</v>
      </c>
      <c r="N72" s="1">
        <v>-1.2775</v>
      </c>
      <c r="O72" s="1">
        <v>5.7854</v>
      </c>
    </row>
    <row r="73">
      <c r="A73" s="24" t="s">
        <v>73</v>
      </c>
      <c r="B73" s="4">
        <v>0.486657999999997</v>
      </c>
      <c r="C73" s="4">
        <v>105.5707</v>
      </c>
      <c r="D73" s="4">
        <v>26.4151</v>
      </c>
      <c r="E73" s="4">
        <v>9.8023</v>
      </c>
      <c r="K73" s="22" t="s">
        <v>137</v>
      </c>
      <c r="L73" s="1">
        <v>0.891616999999966</v>
      </c>
      <c r="M73" s="1">
        <v>77.3645</v>
      </c>
      <c r="N73" s="1">
        <v>-1.69</v>
      </c>
      <c r="O73" s="1">
        <v>7.4588</v>
      </c>
    </row>
    <row r="74">
      <c r="A74" s="24" t="s">
        <v>74</v>
      </c>
      <c r="B74" s="4">
        <v>0.486658999999997</v>
      </c>
      <c r="C74" s="4">
        <v>105.5707</v>
      </c>
      <c r="D74" s="4">
        <v>26.4151</v>
      </c>
      <c r="E74" s="4">
        <v>9.8023</v>
      </c>
      <c r="K74" s="22" t="s">
        <v>138</v>
      </c>
      <c r="L74" s="1">
        <v>0.710619999999999</v>
      </c>
      <c r="M74" s="1">
        <v>76.539</v>
      </c>
      <c r="N74" s="1">
        <v>-2.5155</v>
      </c>
      <c r="O74" s="1">
        <v>10.7078</v>
      </c>
    </row>
    <row r="75">
      <c r="A75" s="24" t="s">
        <v>75</v>
      </c>
      <c r="B75" s="1">
        <v>0.486670999999997</v>
      </c>
      <c r="C75" s="1">
        <v>105.5706</v>
      </c>
      <c r="D75" s="1">
        <v>26.4151</v>
      </c>
      <c r="E75" s="1">
        <v>9.8022</v>
      </c>
      <c r="K75" s="22" t="s">
        <v>123</v>
      </c>
      <c r="L75" s="9">
        <v>0.257574999999999</v>
      </c>
      <c r="M75" s="9">
        <v>77.4278</v>
      </c>
      <c r="N75" s="9">
        <v>-1.6267</v>
      </c>
      <c r="O75" s="9">
        <v>16.1749</v>
      </c>
    </row>
    <row r="76">
      <c r="A76" s="24" t="s">
        <v>76</v>
      </c>
      <c r="B76" s="1">
        <v>0.486715999999997</v>
      </c>
      <c r="C76" s="1">
        <v>105.5702</v>
      </c>
      <c r="D76" s="1">
        <v>26.4146</v>
      </c>
      <c r="E76" s="1">
        <v>9.8016</v>
      </c>
      <c r="K76" s="21" t="s">
        <v>115</v>
      </c>
      <c r="M76" s="1" t="s">
        <v>8</v>
      </c>
      <c r="N76" s="1" t="s">
        <v>14</v>
      </c>
      <c r="O76" s="1" t="s">
        <v>15</v>
      </c>
    </row>
    <row r="77">
      <c r="A77" s="24" t="s">
        <v>77</v>
      </c>
      <c r="B77" s="1">
        <v>0.487000999999996</v>
      </c>
      <c r="C77" s="1">
        <v>105.567</v>
      </c>
      <c r="D77" s="1">
        <v>26.4114</v>
      </c>
      <c r="E77" s="1">
        <v>9.7979</v>
      </c>
      <c r="K77" s="22" t="s">
        <v>132</v>
      </c>
      <c r="L77" s="1">
        <v>0.998881999999993</v>
      </c>
      <c r="M77" s="1">
        <v>78.5965</v>
      </c>
      <c r="N77" s="1">
        <v>-0.458</v>
      </c>
      <c r="O77" s="1">
        <v>2.9627</v>
      </c>
    </row>
    <row r="78">
      <c r="A78" s="24" t="s">
        <v>78</v>
      </c>
      <c r="B78" s="4">
        <v>0.488615999999997</v>
      </c>
      <c r="C78" s="4">
        <v>105.5462</v>
      </c>
      <c r="D78" s="4">
        <v>26.3906</v>
      </c>
      <c r="E78" s="4">
        <v>9.7785</v>
      </c>
      <c r="K78" s="22" t="s">
        <v>133</v>
      </c>
      <c r="L78" s="1">
        <v>0.997380999999988</v>
      </c>
      <c r="M78" s="1">
        <v>78.455</v>
      </c>
      <c r="N78" s="1">
        <v>-0.5994</v>
      </c>
      <c r="O78" s="1">
        <v>3.4092</v>
      </c>
    </row>
    <row r="79">
      <c r="A79" s="24" t="s">
        <v>79</v>
      </c>
      <c r="B79" s="1">
        <v>0.496579999999996</v>
      </c>
      <c r="C79" s="1">
        <v>105.4257</v>
      </c>
      <c r="D79" s="1">
        <v>26.2701</v>
      </c>
      <c r="E79" s="1">
        <v>9.693</v>
      </c>
      <c r="K79" s="22" t="s">
        <v>134</v>
      </c>
      <c r="L79" s="1">
        <v>0.993521999999976</v>
      </c>
      <c r="M79" s="1">
        <v>78.2627</v>
      </c>
      <c r="N79" s="1">
        <v>-0.7918</v>
      </c>
      <c r="O79" s="1">
        <v>3.972</v>
      </c>
    </row>
    <row r="80">
      <c r="A80" s="24" t="s">
        <v>80</v>
      </c>
      <c r="B80" s="1">
        <v>0.526152999999999</v>
      </c>
      <c r="C80" s="1">
        <v>104.7896</v>
      </c>
      <c r="D80" s="1">
        <v>25.6341</v>
      </c>
      <c r="E80" s="1">
        <v>9.3718</v>
      </c>
      <c r="K80" s="22" t="s">
        <v>135</v>
      </c>
      <c r="L80" s="1">
        <v>0.983693999999967</v>
      </c>
      <c r="M80" s="1">
        <v>78.0303</v>
      </c>
      <c r="N80" s="1">
        <v>-1.0242</v>
      </c>
      <c r="O80" s="1">
        <v>4.7143</v>
      </c>
    </row>
    <row r="81">
      <c r="A81" s="24" t="s">
        <v>81</v>
      </c>
      <c r="B81" s="1">
        <v>0.595329999999996</v>
      </c>
      <c r="C81" s="1">
        <v>101.9194</v>
      </c>
      <c r="D81" s="1">
        <v>22.7639</v>
      </c>
      <c r="E81" s="1">
        <v>8.4552</v>
      </c>
      <c r="K81" s="22" t="s">
        <v>136</v>
      </c>
      <c r="L81" s="1">
        <v>0.958224999999957</v>
      </c>
      <c r="M81" s="1">
        <v>77.777</v>
      </c>
      <c r="N81" s="1">
        <v>-1.2775</v>
      </c>
      <c r="O81" s="1">
        <v>5.7854</v>
      </c>
    </row>
    <row r="82">
      <c r="A82" s="24" t="s">
        <v>82</v>
      </c>
      <c r="B82" s="1">
        <v>0.666250999999996</v>
      </c>
      <c r="C82" s="1">
        <v>91.6629</v>
      </c>
      <c r="D82" s="1">
        <v>12.5074</v>
      </c>
      <c r="E82" s="1">
        <v>6.9332</v>
      </c>
      <c r="K82" s="22" t="s">
        <v>137</v>
      </c>
      <c r="L82" s="1">
        <v>0.891616999999966</v>
      </c>
      <c r="M82" s="1">
        <v>77.3645</v>
      </c>
      <c r="N82" s="1">
        <v>-1.69</v>
      </c>
      <c r="O82" s="1">
        <v>7.4588</v>
      </c>
    </row>
    <row r="83">
      <c r="A83" s="24" t="s">
        <v>83</v>
      </c>
      <c r="B83" s="1">
        <v>0.176181999999991</v>
      </c>
      <c r="C83" s="1">
        <v>59.5556</v>
      </c>
      <c r="D83" s="1">
        <v>19.6</v>
      </c>
      <c r="E83" s="1">
        <v>7.721</v>
      </c>
      <c r="K83" s="22" t="s">
        <v>138</v>
      </c>
      <c r="L83" s="1">
        <v>0.710619999999999</v>
      </c>
      <c r="M83" s="1">
        <v>76.539</v>
      </c>
      <c r="N83" s="1">
        <v>-2.5155</v>
      </c>
      <c r="O83" s="1">
        <v>10.7078</v>
      </c>
    </row>
    <row r="84">
      <c r="K84" s="22" t="s">
        <v>123</v>
      </c>
      <c r="L84" s="1">
        <v>0.257574999999999</v>
      </c>
      <c r="M84" s="1">
        <v>77.4278</v>
      </c>
      <c r="N84" s="1">
        <v>-1.6267</v>
      </c>
      <c r="O84" s="1">
        <v>16.1749</v>
      </c>
    </row>
    <row r="85">
      <c r="A85" s="15" t="s">
        <v>50</v>
      </c>
    </row>
    <row r="86">
      <c r="A86" s="16" t="s">
        <v>139</v>
      </c>
      <c r="B86" s="1">
        <v>0.999955999999999</v>
      </c>
      <c r="C86" s="1">
        <v>72.4035</v>
      </c>
      <c r="D86" s="1">
        <v>-6.752</v>
      </c>
      <c r="E86" s="1">
        <v>3.6492</v>
      </c>
      <c r="F86" s="1"/>
      <c r="K86" s="2"/>
      <c r="L86" s="1" t="s">
        <v>140</v>
      </c>
      <c r="M86" s="1" t="s">
        <v>141</v>
      </c>
    </row>
    <row r="87">
      <c r="A87" s="16" t="s">
        <v>142</v>
      </c>
      <c r="B87" s="1">
        <v>0.999834999999998</v>
      </c>
      <c r="C87" s="1">
        <v>70.7734</v>
      </c>
      <c r="D87" s="1">
        <v>-8.203</v>
      </c>
      <c r="E87" s="1">
        <v>4.0362</v>
      </c>
      <c r="K87" s="18"/>
      <c r="L87" s="1" t="s">
        <v>143</v>
      </c>
      <c r="M87" s="1" t="s">
        <v>144</v>
      </c>
    </row>
    <row r="88">
      <c r="A88" s="16" t="s">
        <v>145</v>
      </c>
      <c r="B88" s="1">
        <v>0.999556999999995</v>
      </c>
      <c r="C88" s="1">
        <v>68.9595</v>
      </c>
      <c r="D88" s="1">
        <v>-10.0169</v>
      </c>
      <c r="E88" s="1">
        <v>4.4478</v>
      </c>
      <c r="K88" s="1" t="s">
        <v>19</v>
      </c>
      <c r="L88" s="1">
        <v>0.123922718386173</v>
      </c>
      <c r="M88" s="1">
        <v>0.0384571805596351</v>
      </c>
    </row>
    <row r="89">
      <c r="A89" s="16" t="s">
        <v>146</v>
      </c>
      <c r="B89" s="1">
        <v>0.998829999999991</v>
      </c>
      <c r="C89" s="1">
        <v>66.5966</v>
      </c>
      <c r="D89" s="1">
        <v>-12.3799</v>
      </c>
      <c r="E89" s="1">
        <v>4.8765</v>
      </c>
      <c r="K89" s="1" t="s">
        <v>22</v>
      </c>
      <c r="L89" s="1">
        <v>0.13347856364992</v>
      </c>
      <c r="M89" s="1">
        <v>0.0465951822698116</v>
      </c>
    </row>
    <row r="90">
      <c r="A90" s="16" t="s">
        <v>147</v>
      </c>
      <c r="B90" s="1">
        <v>0.996283999999978</v>
      </c>
      <c r="C90" s="1">
        <v>63.4956</v>
      </c>
      <c r="D90" s="1">
        <v>-15.4808</v>
      </c>
      <c r="E90" s="1">
        <v>5.3243</v>
      </c>
      <c r="K90" s="1" t="s">
        <v>25</v>
      </c>
      <c r="L90" s="1">
        <v>0.144399845643292</v>
      </c>
      <c r="M90" s="1">
        <v>0.0573171287775039</v>
      </c>
    </row>
    <row r="91">
      <c r="A91" s="16" t="s">
        <v>148</v>
      </c>
      <c r="B91" s="1">
        <v>0.985408999999951</v>
      </c>
      <c r="C91" s="1">
        <v>58.9427</v>
      </c>
      <c r="D91" s="1">
        <v>-20.0337</v>
      </c>
      <c r="E91" s="1">
        <v>5.9517</v>
      </c>
      <c r="K91" s="1" t="s">
        <v>28</v>
      </c>
      <c r="L91" s="1">
        <v>0.1552599488341</v>
      </c>
      <c r="M91" s="1">
        <v>0.0717988207936286</v>
      </c>
    </row>
    <row r="92">
      <c r="A92" s="16" t="s">
        <v>149</v>
      </c>
      <c r="B92" s="18">
        <v>0.934916999999954</v>
      </c>
      <c r="C92" s="1">
        <v>52.2137</v>
      </c>
      <c r="D92" s="1">
        <v>-26.7627</v>
      </c>
      <c r="E92" s="1">
        <v>6.9206</v>
      </c>
      <c r="K92" s="1" t="s">
        <v>31</v>
      </c>
      <c r="L92" s="1">
        <v>0.172584359301444</v>
      </c>
      <c r="M92" s="1">
        <v>0.0929965130984783</v>
      </c>
    </row>
    <row r="93">
      <c r="A93" s="16" t="s">
        <v>150</v>
      </c>
      <c r="B93" s="1">
        <v>0.600596999999996</v>
      </c>
      <c r="C93" s="1">
        <v>41.4724</v>
      </c>
      <c r="D93" s="1">
        <v>-37.504</v>
      </c>
      <c r="E93" s="1">
        <v>8.7976</v>
      </c>
      <c r="K93" s="1" t="s">
        <v>34</v>
      </c>
      <c r="L93" s="1">
        <v>0.19516359990045</v>
      </c>
      <c r="M93" s="1">
        <v>0.126835724711418</v>
      </c>
    </row>
    <row r="94">
      <c r="A94" s="25"/>
      <c r="K94" s="1" t="s">
        <v>37</v>
      </c>
      <c r="L94" s="1">
        <v>0.225533310325145</v>
      </c>
      <c r="M94" s="1">
        <v>0.188220837712287</v>
      </c>
    </row>
    <row r="95">
      <c r="A95" s="23" t="s">
        <v>151</v>
      </c>
      <c r="B95" s="1"/>
      <c r="C95" s="1"/>
      <c r="D95" s="1"/>
      <c r="E95" s="1"/>
      <c r="K95" s="1" t="s">
        <v>109</v>
      </c>
      <c r="L95" s="1">
        <v>0.267438134165105</v>
      </c>
      <c r="M95" s="1">
        <v>0.331936907768249</v>
      </c>
    </row>
    <row r="96">
      <c r="A96" s="24" t="s">
        <v>139</v>
      </c>
      <c r="B96" s="1"/>
      <c r="C96" s="1"/>
      <c r="D96" s="1"/>
      <c r="E96" s="1"/>
      <c r="K96" s="1"/>
    </row>
    <row r="97">
      <c r="A97" s="24" t="s">
        <v>142</v>
      </c>
      <c r="B97" s="1"/>
      <c r="C97" s="1"/>
      <c r="D97" s="1"/>
      <c r="E97" s="1"/>
      <c r="K97" s="1" t="s">
        <v>143</v>
      </c>
      <c r="L97" s="1" t="s">
        <v>152</v>
      </c>
      <c r="M97" s="1" t="s">
        <v>153</v>
      </c>
    </row>
    <row r="98">
      <c r="A98" s="24" t="s">
        <v>154</v>
      </c>
      <c r="B98" s="1">
        <v>0.996220000000001</v>
      </c>
      <c r="C98" s="1">
        <v>75.9104</v>
      </c>
      <c r="D98" s="1">
        <v>-3.1467</v>
      </c>
      <c r="E98" s="1">
        <v>6.0726</v>
      </c>
      <c r="K98" s="1" t="s">
        <v>155</v>
      </c>
      <c r="L98" s="1" t="s">
        <v>156</v>
      </c>
      <c r="M98" s="1" t="s">
        <v>157</v>
      </c>
    </row>
    <row r="99">
      <c r="A99" s="24" t="s">
        <v>158</v>
      </c>
      <c r="B99" s="1">
        <v>0.990550000000001</v>
      </c>
      <c r="C99" s="1">
        <v>78.0947</v>
      </c>
      <c r="D99" s="1">
        <v>-0.9625</v>
      </c>
      <c r="E99" s="1">
        <v>9.6323</v>
      </c>
      <c r="K99" s="1" t="s">
        <v>144</v>
      </c>
      <c r="L99" s="1" t="s">
        <v>159</v>
      </c>
      <c r="M99" s="1" t="s">
        <v>160</v>
      </c>
    </row>
    <row r="100">
      <c r="A100" s="24" t="s">
        <v>161</v>
      </c>
      <c r="B100" s="1">
        <v>0.975600000000003</v>
      </c>
      <c r="C100" s="1">
        <v>76.2866</v>
      </c>
      <c r="D100" s="1">
        <v>-2.7705</v>
      </c>
      <c r="E100" s="1">
        <v>9.4506</v>
      </c>
      <c r="L100" s="1" t="s">
        <v>162</v>
      </c>
      <c r="M100" s="17" t="s">
        <v>163</v>
      </c>
    </row>
    <row r="101">
      <c r="A101" s="24" t="s">
        <v>164</v>
      </c>
      <c r="B101" s="1">
        <v>0.928480000000003</v>
      </c>
      <c r="C101" s="1">
        <v>81.496</v>
      </c>
      <c r="D101" s="1">
        <v>2.4389</v>
      </c>
      <c r="E101" s="1">
        <v>16.3446</v>
      </c>
    </row>
    <row r="102">
      <c r="A102" s="24" t="s">
        <v>165</v>
      </c>
      <c r="B102" s="18">
        <v>0.785190000000002</v>
      </c>
      <c r="C102" s="1">
        <v>78.9763</v>
      </c>
      <c r="D102" s="1">
        <v>-0.0808</v>
      </c>
      <c r="E102" s="1">
        <v>16.2995</v>
      </c>
    </row>
    <row r="103">
      <c r="A103" s="24" t="s">
        <v>166</v>
      </c>
      <c r="B103" s="1">
        <v>0.600508999999996</v>
      </c>
      <c r="C103" s="1">
        <v>159.0224</v>
      </c>
      <c r="D103" s="1">
        <v>79.8669</v>
      </c>
      <c r="E103" s="1">
        <v>17.3746</v>
      </c>
    </row>
    <row r="105">
      <c r="A105" s="16" t="s">
        <v>149</v>
      </c>
      <c r="B105" s="1">
        <v>0.934916999999954</v>
      </c>
      <c r="C105" s="1">
        <v>52.2137</v>
      </c>
      <c r="D105" s="1">
        <v>-26.7627</v>
      </c>
      <c r="E105" s="1">
        <v>6.9206</v>
      </c>
    </row>
    <row r="106">
      <c r="A106" s="16" t="s">
        <v>167</v>
      </c>
      <c r="B106" s="1">
        <v>0.741061999999993</v>
      </c>
      <c r="C106" s="1">
        <v>78.6067</v>
      </c>
      <c r="D106" s="1">
        <v>-0.3697</v>
      </c>
      <c r="E106" s="1">
        <v>7.1441</v>
      </c>
    </row>
    <row r="107">
      <c r="A107" s="16" t="s">
        <v>168</v>
      </c>
      <c r="B107" s="1">
        <v>0.871779999999976</v>
      </c>
      <c r="C107" s="1">
        <v>84.0842</v>
      </c>
      <c r="D107" s="1">
        <v>5.1078</v>
      </c>
      <c r="E107" s="1">
        <v>6.5694</v>
      </c>
    </row>
    <row r="109">
      <c r="A109" s="24" t="s">
        <v>169</v>
      </c>
      <c r="B109" s="1">
        <v>0.759879999999991</v>
      </c>
      <c r="C109" s="1">
        <v>132.2911</v>
      </c>
      <c r="D109" s="1">
        <v>53.1356</v>
      </c>
      <c r="E109" s="1">
        <v>37.5435</v>
      </c>
    </row>
    <row r="110">
      <c r="A110" s="24" t="s">
        <v>170</v>
      </c>
      <c r="B110" s="1">
        <v>0.77503599999999</v>
      </c>
      <c r="C110" s="1">
        <v>96.1084</v>
      </c>
      <c r="D110" s="1">
        <v>16.9528</v>
      </c>
      <c r="E110" s="1">
        <v>28.7273</v>
      </c>
    </row>
    <row r="111">
      <c r="A111" s="23" t="s">
        <v>171</v>
      </c>
      <c r="B111" s="18">
        <v>0.782358999999989</v>
      </c>
      <c r="C111" s="18">
        <v>78.9696</v>
      </c>
      <c r="D111" s="18">
        <v>-0.1859</v>
      </c>
      <c r="E111" s="18">
        <v>16.274</v>
      </c>
    </row>
    <row r="112">
      <c r="A112" s="24" t="s">
        <v>172</v>
      </c>
      <c r="B112" s="1">
        <v>0.778834999999991</v>
      </c>
      <c r="C112" s="1">
        <v>71.7627</v>
      </c>
      <c r="D112" s="1">
        <v>-7.3929</v>
      </c>
      <c r="E112" s="1">
        <v>9.5968</v>
      </c>
    </row>
    <row r="113">
      <c r="A113" s="24" t="s">
        <v>173</v>
      </c>
      <c r="B113" s="1">
        <v>0.76249399999999</v>
      </c>
      <c r="C113" s="1">
        <v>69.29</v>
      </c>
      <c r="D113" s="1">
        <v>-9.8655</v>
      </c>
      <c r="E113" s="1">
        <v>7.1434</v>
      </c>
    </row>
    <row r="116">
      <c r="A116" s="24" t="s">
        <v>174</v>
      </c>
      <c r="B116" s="1">
        <v>0.839263999999982</v>
      </c>
      <c r="C116" s="1">
        <v>0.0</v>
      </c>
      <c r="D116" s="1">
        <v>-79.1556</v>
      </c>
      <c r="E116" s="1">
        <v>12.6868</v>
      </c>
    </row>
    <row r="117">
      <c r="A117" s="24" t="s">
        <v>175</v>
      </c>
      <c r="B117" s="1">
        <v>0.84882599999998</v>
      </c>
      <c r="C117" s="1">
        <v>0.0</v>
      </c>
      <c r="D117" s="1">
        <v>-79.1556</v>
      </c>
      <c r="E117" s="1">
        <v>12.6868</v>
      </c>
    </row>
    <row r="118">
      <c r="A118" s="24" t="s">
        <v>176</v>
      </c>
      <c r="B118" s="1">
        <v>0.854354999999985</v>
      </c>
      <c r="C118" s="1">
        <v>0.5916</v>
      </c>
      <c r="D118" s="1">
        <v>-78.5639</v>
      </c>
      <c r="E118" s="1">
        <v>11.9725</v>
      </c>
    </row>
    <row r="119">
      <c r="A119" s="24" t="s">
        <v>177</v>
      </c>
      <c r="B119" s="1">
        <v>0.856885999999983</v>
      </c>
      <c r="C119" s="1">
        <v>12.6732</v>
      </c>
      <c r="D119" s="1">
        <v>-66.4823</v>
      </c>
      <c r="E119" s="1">
        <v>11.2365</v>
      </c>
    </row>
    <row r="120">
      <c r="A120" s="23" t="s">
        <v>178</v>
      </c>
      <c r="B120" s="18">
        <v>0.857422999999981</v>
      </c>
      <c r="C120" s="18">
        <v>29.4714</v>
      </c>
      <c r="D120" s="18">
        <v>-49.6841</v>
      </c>
      <c r="E120" s="18">
        <v>11.9836</v>
      </c>
    </row>
    <row r="121">
      <c r="A121" s="24" t="s">
        <v>179</v>
      </c>
      <c r="B121" s="1">
        <v>0.855825999999982</v>
      </c>
      <c r="C121" s="1">
        <v>45.4798</v>
      </c>
      <c r="D121" s="1">
        <v>-33.6757</v>
      </c>
      <c r="E121" s="1">
        <v>9.4565</v>
      </c>
    </row>
    <row r="123">
      <c r="A123" s="24" t="s">
        <v>180</v>
      </c>
      <c r="B123" s="1">
        <v>0.885753999999972</v>
      </c>
      <c r="C123" s="1">
        <v>86.1366</v>
      </c>
      <c r="D123" s="1">
        <v>6.9811</v>
      </c>
      <c r="E123" s="1">
        <v>8.3184</v>
      </c>
    </row>
    <row r="124">
      <c r="A124" s="24" t="s">
        <v>181</v>
      </c>
      <c r="B124" s="1">
        <v>0.89103399999997</v>
      </c>
      <c r="C124" s="1">
        <v>86.712</v>
      </c>
      <c r="D124" s="1">
        <v>7.5564</v>
      </c>
      <c r="E124" s="1">
        <v>8.9472</v>
      </c>
    </row>
    <row r="125">
      <c r="A125" s="24" t="s">
        <v>182</v>
      </c>
      <c r="B125" s="1">
        <v>0.892901999999967</v>
      </c>
      <c r="C125" s="1">
        <v>86.8422</v>
      </c>
      <c r="D125" s="1">
        <v>7.6866</v>
      </c>
      <c r="E125" s="1">
        <v>9.0943</v>
      </c>
    </row>
    <row r="126">
      <c r="A126" s="23" t="s">
        <v>183</v>
      </c>
      <c r="B126" s="18">
        <v>0.892987999999968</v>
      </c>
      <c r="C126" s="18">
        <v>86.947</v>
      </c>
      <c r="D126" s="18">
        <v>7.7915</v>
      </c>
      <c r="E126" s="18">
        <v>9.2146</v>
      </c>
    </row>
    <row r="127">
      <c r="A127" s="24" t="s">
        <v>184</v>
      </c>
      <c r="B127" s="1">
        <v>0.891469999999967</v>
      </c>
      <c r="C127" s="1">
        <v>87.1234</v>
      </c>
      <c r="D127" s="1">
        <v>7.9679</v>
      </c>
      <c r="E127" s="1">
        <v>9.4162</v>
      </c>
    </row>
    <row r="129">
      <c r="A129" s="1" t="s">
        <v>185</v>
      </c>
      <c r="B129" s="1">
        <v>1.0</v>
      </c>
      <c r="C129" s="1">
        <v>2.0</v>
      </c>
      <c r="D129" s="1">
        <v>4.0</v>
      </c>
      <c r="E129" s="1">
        <v>8.0</v>
      </c>
      <c r="F129" s="1">
        <v>16.0</v>
      </c>
      <c r="G129" s="1">
        <v>32.0</v>
      </c>
      <c r="H129" s="1">
        <v>64.0</v>
      </c>
      <c r="I129" s="1">
        <v>128.0</v>
      </c>
      <c r="J129" s="1">
        <v>256.0</v>
      </c>
    </row>
    <row r="130">
      <c r="A130" s="24" t="s">
        <v>171</v>
      </c>
      <c r="B130" s="1">
        <v>1.42E-4</v>
      </c>
      <c r="C130" s="1">
        <v>0.311231</v>
      </c>
      <c r="D130" s="1">
        <v>0.521793999999998</v>
      </c>
      <c r="E130" s="1">
        <v>0.677398999999994</v>
      </c>
      <c r="F130" s="1">
        <v>0.751499999999993</v>
      </c>
      <c r="G130" s="1">
        <v>0.77409099999999</v>
      </c>
      <c r="H130" s="1">
        <v>0.780263999999991</v>
      </c>
      <c r="I130" s="1">
        <v>0.781766999999989</v>
      </c>
      <c r="J130" s="1">
        <v>0.782217999999992</v>
      </c>
    </row>
    <row r="131">
      <c r="A131" s="24" t="s">
        <v>178</v>
      </c>
      <c r="B131" s="1">
        <v>0.00913100000000017</v>
      </c>
      <c r="C131" s="1">
        <v>0.370235000000002</v>
      </c>
      <c r="D131" s="1">
        <v>0.465684999999999</v>
      </c>
      <c r="E131" s="1">
        <v>0.646677999999999</v>
      </c>
      <c r="F131" s="1">
        <v>0.798182999999995</v>
      </c>
      <c r="G131" s="1">
        <v>0.842697999999984</v>
      </c>
      <c r="H131" s="1">
        <v>0.853219999999981</v>
      </c>
      <c r="I131" s="1">
        <v>0.856579999999981</v>
      </c>
      <c r="J131" s="1">
        <v>0.857257999999984</v>
      </c>
    </row>
    <row r="132">
      <c r="A132" s="24" t="s">
        <v>183</v>
      </c>
      <c r="B132" s="1">
        <v>0.00361000000000005</v>
      </c>
      <c r="C132" s="1">
        <v>0.385543999999999</v>
      </c>
      <c r="D132" s="1">
        <v>0.551265999999999</v>
      </c>
      <c r="E132" s="1">
        <v>0.717768999999997</v>
      </c>
      <c r="F132" s="1">
        <v>0.847788999999984</v>
      </c>
      <c r="G132" s="1">
        <v>0.881941999999976</v>
      </c>
      <c r="H132" s="1">
        <v>0.890247999999969</v>
      </c>
      <c r="I132" s="1">
        <v>0.892326999999968</v>
      </c>
      <c r="J132" s="1">
        <v>0.892858999999966</v>
      </c>
    </row>
    <row r="133">
      <c r="A133" s="1" t="s">
        <v>186</v>
      </c>
      <c r="B133" s="1">
        <v>1.0</v>
      </c>
      <c r="C133" s="1">
        <v>2.0</v>
      </c>
      <c r="D133" s="1">
        <v>4.0</v>
      </c>
      <c r="E133" s="1">
        <v>8.0</v>
      </c>
      <c r="F133" s="1">
        <v>16.0</v>
      </c>
      <c r="G133" s="1">
        <v>32.0</v>
      </c>
      <c r="H133" s="1">
        <v>64.0</v>
      </c>
      <c r="I133" s="1">
        <v>128.0</v>
      </c>
      <c r="J133" s="1">
        <v>256.0</v>
      </c>
    </row>
    <row r="134">
      <c r="A134" s="24" t="s">
        <v>171</v>
      </c>
      <c r="B134" s="1">
        <v>8.76999999999986E-4</v>
      </c>
      <c r="C134" s="1">
        <v>0.258456</v>
      </c>
      <c r="D134" s="1">
        <v>0.449259</v>
      </c>
      <c r="E134" s="1">
        <v>0.596978999999996</v>
      </c>
      <c r="F134" s="1">
        <v>0.718610999999992</v>
      </c>
      <c r="G134" s="1">
        <v>0.766497999999989</v>
      </c>
      <c r="H134" s="1">
        <v>0.778481999999995</v>
      </c>
      <c r="I134" s="1">
        <v>0.781280999999989</v>
      </c>
      <c r="J134" s="1">
        <v>0.78211499999999</v>
      </c>
    </row>
    <row r="135">
      <c r="A135" s="24" t="s">
        <v>178</v>
      </c>
      <c r="B135" s="1">
        <v>8.48999999999986E-4</v>
      </c>
      <c r="C135" s="1">
        <v>0.232181</v>
      </c>
      <c r="D135" s="1">
        <v>0.162864999999996</v>
      </c>
      <c r="E135" s="1">
        <v>0.551077999999997</v>
      </c>
      <c r="F135" s="1">
        <v>0.751993999999995</v>
      </c>
      <c r="G135" s="1">
        <v>0.831395999999984</v>
      </c>
      <c r="H135" s="1">
        <v>0.850511999999986</v>
      </c>
      <c r="I135" s="1">
        <v>0.855812999999981</v>
      </c>
      <c r="J135" s="1">
        <v>0.857044999999982</v>
      </c>
    </row>
    <row r="136">
      <c r="A136" s="24" t="s">
        <v>183</v>
      </c>
      <c r="B136" s="1">
        <v>8.68999999999986E-4</v>
      </c>
      <c r="C136" s="1">
        <v>0.291169</v>
      </c>
      <c r="D136" s="1">
        <v>0.213969999999998</v>
      </c>
      <c r="E136" s="1">
        <v>0.623606000000002</v>
      </c>
      <c r="F136" s="1">
        <v>0.807640999999987</v>
      </c>
      <c r="G136" s="1">
        <v>0.873331999999978</v>
      </c>
      <c r="H136" s="1">
        <v>0.888178999999968</v>
      </c>
      <c r="I136" s="1">
        <v>0.891829999999966</v>
      </c>
      <c r="J136" s="1">
        <v>0.892698999999965</v>
      </c>
    </row>
    <row r="137">
      <c r="A137" s="1" t="s">
        <v>187</v>
      </c>
      <c r="B137" s="1">
        <v>1.0</v>
      </c>
      <c r="C137" s="1">
        <v>2.0</v>
      </c>
      <c r="D137" s="1">
        <v>4.0</v>
      </c>
      <c r="E137" s="1">
        <v>8.0</v>
      </c>
      <c r="F137" s="1">
        <v>16.0</v>
      </c>
      <c r="G137" s="1">
        <v>32.0</v>
      </c>
      <c r="H137" s="1">
        <v>64.0</v>
      </c>
      <c r="I137" s="1">
        <v>128.0</v>
      </c>
      <c r="J137" s="1">
        <v>256.0</v>
      </c>
    </row>
    <row r="138">
      <c r="A138" s="24" t="s">
        <v>171</v>
      </c>
      <c r="B138" s="1"/>
      <c r="C138" s="1">
        <v>0.258456</v>
      </c>
      <c r="D138" s="1">
        <v>0.449259</v>
      </c>
      <c r="E138" s="1">
        <v>0.597488999999998</v>
      </c>
      <c r="F138" s="1">
        <v>0.720932999999995</v>
      </c>
      <c r="G138" s="1">
        <v>0.773455999999991</v>
      </c>
      <c r="H138" s="1">
        <v>0.786497999999987</v>
      </c>
      <c r="I138" s="1">
        <v>0.789838999999993</v>
      </c>
      <c r="J138" s="1">
        <v>0.790553999999991</v>
      </c>
    </row>
    <row r="139">
      <c r="A139" s="24" t="s">
        <v>178</v>
      </c>
      <c r="B139" s="2"/>
      <c r="C139" s="1">
        <v>0.232181</v>
      </c>
      <c r="D139" s="1">
        <v>0.162864999999996</v>
      </c>
      <c r="E139" s="1">
        <v>0.552573999999999</v>
      </c>
      <c r="F139" s="1">
        <v>0.751514999999991</v>
      </c>
      <c r="G139" s="1">
        <v>0.830549999999988</v>
      </c>
      <c r="H139" s="1">
        <v>0.850461999999983</v>
      </c>
      <c r="I139" s="1">
        <v>0.855857999999982</v>
      </c>
      <c r="J139" s="1">
        <v>0.857017999999982</v>
      </c>
    </row>
    <row r="140">
      <c r="A140" s="24" t="s">
        <v>183</v>
      </c>
      <c r="B140" s="2"/>
      <c r="C140" s="1">
        <v>0.291169</v>
      </c>
      <c r="D140" s="1">
        <v>0.213969999999998</v>
      </c>
      <c r="E140" s="1">
        <v>0.624699000000001</v>
      </c>
      <c r="F140" s="1">
        <v>0.807066999999988</v>
      </c>
      <c r="G140" s="1">
        <v>0.872981999999978</v>
      </c>
      <c r="H140" s="1">
        <v>0.887986999999969</v>
      </c>
      <c r="I140" s="1">
        <v>0.891786999999966</v>
      </c>
      <c r="J140" s="1">
        <v>0.892754999999966</v>
      </c>
    </row>
    <row r="141">
      <c r="A141" s="1" t="s">
        <v>188</v>
      </c>
      <c r="B141" s="1">
        <v>1.0</v>
      </c>
      <c r="C141" s="1">
        <v>2.0</v>
      </c>
      <c r="D141" s="1">
        <v>4.0</v>
      </c>
      <c r="E141" s="1">
        <v>8.0</v>
      </c>
      <c r="F141" s="1">
        <v>16.0</v>
      </c>
      <c r="G141" s="1">
        <v>32.0</v>
      </c>
      <c r="H141" s="1">
        <v>64.0</v>
      </c>
      <c r="I141" s="1">
        <v>128.0</v>
      </c>
      <c r="J141" s="1">
        <v>256.0</v>
      </c>
    </row>
    <row r="142">
      <c r="A142" s="24" t="s">
        <v>171</v>
      </c>
      <c r="B142" s="2"/>
      <c r="C142" s="1">
        <v>0.258456</v>
      </c>
      <c r="D142" s="1">
        <v>0.399125</v>
      </c>
      <c r="E142" s="1">
        <v>0.520806999999999</v>
      </c>
      <c r="F142" s="1">
        <v>0.737601999999995</v>
      </c>
      <c r="G142" s="1">
        <v>0.816392999999985</v>
      </c>
      <c r="H142" s="1">
        <v>0.839863999999988</v>
      </c>
      <c r="I142" s="1">
        <v>0.845183999999983</v>
      </c>
      <c r="J142" s="1">
        <v>0.846650999999983</v>
      </c>
    </row>
    <row r="143">
      <c r="A143" s="24" t="s">
        <v>178</v>
      </c>
      <c r="B143" s="2"/>
      <c r="C143" s="1">
        <v>0.232181</v>
      </c>
      <c r="D143" s="1">
        <v>0.135114999999994</v>
      </c>
      <c r="E143" s="1">
        <v>0.024298</v>
      </c>
      <c r="F143" s="1">
        <v>0.0894149999999962</v>
      </c>
      <c r="G143" s="1">
        <v>0.136329999999994</v>
      </c>
      <c r="H143" s="1">
        <v>0.148843999999993</v>
      </c>
      <c r="I143" s="1">
        <v>0.150441999999993</v>
      </c>
      <c r="J143" s="1">
        <v>0.150810999999993</v>
      </c>
    </row>
    <row r="144">
      <c r="A144" s="24" t="s">
        <v>183</v>
      </c>
      <c r="B144" s="2"/>
      <c r="C144" s="1">
        <v>0.291169</v>
      </c>
      <c r="D144" s="2"/>
      <c r="E144" s="2"/>
      <c r="F144" s="2"/>
      <c r="G144" s="2"/>
      <c r="H144" s="1">
        <v>0.208667999999997</v>
      </c>
      <c r="I144" s="1">
        <v>0.212051999999997</v>
      </c>
      <c r="J144" s="1">
        <v>0.212895999999998</v>
      </c>
    </row>
    <row r="147">
      <c r="A147" s="24" t="s">
        <v>189</v>
      </c>
      <c r="B147" s="1">
        <v>0.842688999999981</v>
      </c>
      <c r="C147" s="1">
        <v>117.4205</v>
      </c>
      <c r="D147" s="1">
        <v>38.2649</v>
      </c>
      <c r="E147" s="1">
        <v>34.4315</v>
      </c>
    </row>
    <row r="148">
      <c r="A148" s="23" t="s">
        <v>190</v>
      </c>
      <c r="B148" s="18">
        <v>0.862297999999979</v>
      </c>
      <c r="C148" s="18">
        <v>77.6989</v>
      </c>
      <c r="D148" s="18">
        <v>-1.4566</v>
      </c>
      <c r="E148" s="18">
        <v>16.5558</v>
      </c>
    </row>
    <row r="149">
      <c r="A149" s="24" t="s">
        <v>191</v>
      </c>
      <c r="B149" s="1">
        <v>0.847240999999982</v>
      </c>
      <c r="C149" s="1">
        <v>64.1985</v>
      </c>
      <c r="D149" s="1">
        <v>-14.957</v>
      </c>
      <c r="E149" s="1">
        <v>7.952</v>
      </c>
    </row>
    <row r="151">
      <c r="A151" s="24" t="s">
        <v>192</v>
      </c>
      <c r="B151" s="1">
        <v>0.723774999999993</v>
      </c>
      <c r="C151" s="1">
        <v>5.0E-4</v>
      </c>
      <c r="D151" s="1">
        <v>-79.155</v>
      </c>
      <c r="E151" s="1">
        <v>12.6862</v>
      </c>
    </row>
    <row r="152">
      <c r="A152" s="23" t="s">
        <v>193</v>
      </c>
      <c r="B152" s="18">
        <v>0.751225999999994</v>
      </c>
      <c r="C152" s="18">
        <v>0.4284</v>
      </c>
      <c r="D152" s="18">
        <v>-78.7272</v>
      </c>
      <c r="E152" s="18">
        <v>12.8013</v>
      </c>
    </row>
    <row r="153">
      <c r="A153" s="24" t="s">
        <v>194</v>
      </c>
      <c r="B153" s="1">
        <v>0.745438999999996</v>
      </c>
      <c r="C153" s="1">
        <v>2.1197</v>
      </c>
      <c r="D153" s="1">
        <v>-67.0358</v>
      </c>
      <c r="E153" s="1">
        <v>22.0562</v>
      </c>
    </row>
    <row r="154">
      <c r="A154" s="24" t="s">
        <v>195</v>
      </c>
      <c r="B154" s="1">
        <v>0.715243999999996</v>
      </c>
      <c r="C154" s="1">
        <v>53.2671</v>
      </c>
      <c r="D154" s="1">
        <v>-25.8884</v>
      </c>
      <c r="E154" s="1">
        <v>30.4544</v>
      </c>
    </row>
    <row r="155">
      <c r="A155" s="24" t="s">
        <v>196</v>
      </c>
      <c r="B155" s="1">
        <v>0.683836999999999</v>
      </c>
      <c r="C155" s="1">
        <v>87.3493</v>
      </c>
      <c r="D155" s="1">
        <v>8.1938</v>
      </c>
      <c r="E155" s="1">
        <v>16.4586</v>
      </c>
    </row>
    <row r="156">
      <c r="A156" s="24" t="s">
        <v>197</v>
      </c>
      <c r="B156" s="1">
        <v>0.661130999999997</v>
      </c>
      <c r="C156" s="1">
        <v>99.8802</v>
      </c>
      <c r="D156" s="1">
        <v>20.7247</v>
      </c>
      <c r="E156" s="1">
        <v>7.9833</v>
      </c>
    </row>
    <row r="158">
      <c r="A158" s="24" t="s">
        <v>198</v>
      </c>
      <c r="B158" s="1">
        <v>0.855171999999978</v>
      </c>
      <c r="C158" s="1">
        <v>76.4408</v>
      </c>
      <c r="D158" s="1">
        <v>-2.7147</v>
      </c>
      <c r="E158" s="1">
        <v>7.2103</v>
      </c>
    </row>
    <row r="159">
      <c r="A159" s="23" t="s">
        <v>199</v>
      </c>
      <c r="B159" s="18">
        <v>0.88233199999997</v>
      </c>
      <c r="C159" s="18">
        <v>79.8673</v>
      </c>
      <c r="D159" s="18">
        <v>0.7117</v>
      </c>
      <c r="E159" s="18">
        <v>4.4701</v>
      </c>
    </row>
    <row r="160">
      <c r="A160" s="24" t="s">
        <v>200</v>
      </c>
      <c r="B160" s="1">
        <v>0.881047999999973</v>
      </c>
      <c r="C160" s="1">
        <v>81.9384</v>
      </c>
      <c r="D160" s="1">
        <v>2.7829</v>
      </c>
      <c r="E160" s="1">
        <v>4.6733</v>
      </c>
    </row>
    <row r="162">
      <c r="A162" s="1" t="s">
        <v>201</v>
      </c>
      <c r="B162" s="1">
        <v>1.0</v>
      </c>
      <c r="C162" s="1">
        <v>2.0</v>
      </c>
      <c r="D162" s="1">
        <v>4.0</v>
      </c>
      <c r="E162" s="1">
        <v>8.0</v>
      </c>
      <c r="F162" s="1">
        <v>16.0</v>
      </c>
      <c r="G162" s="1">
        <v>32.0</v>
      </c>
      <c r="H162" s="1">
        <v>64.0</v>
      </c>
      <c r="I162" s="1">
        <v>128.0</v>
      </c>
      <c r="J162" s="1">
        <v>256.0</v>
      </c>
    </row>
    <row r="163">
      <c r="A163" s="24" t="s">
        <v>190</v>
      </c>
      <c r="C163" s="1">
        <v>0.257361999999999</v>
      </c>
      <c r="D163" s="1">
        <v>0.428425999999999</v>
      </c>
      <c r="E163" s="1">
        <v>0.531128999999999</v>
      </c>
      <c r="F163" s="1">
        <v>0.753086999999994</v>
      </c>
      <c r="G163" s="1">
        <v>0.834646999999988</v>
      </c>
      <c r="H163" s="1">
        <v>0.85590599999998</v>
      </c>
      <c r="I163" s="1">
        <v>0.86085499999998</v>
      </c>
      <c r="J163" s="1">
        <v>0.86205099999998</v>
      </c>
    </row>
    <row r="164">
      <c r="C164" s="1">
        <v>0.258898000000001</v>
      </c>
    </row>
    <row r="165">
      <c r="C165" s="1" t="s">
        <v>202</v>
      </c>
    </row>
    <row r="166">
      <c r="A166" s="24" t="s">
        <v>199</v>
      </c>
      <c r="B166" s="2"/>
      <c r="C166" s="1">
        <v>0.259305</v>
      </c>
      <c r="D166" s="1">
        <v>0.488904000000001</v>
      </c>
      <c r="E166" s="1">
        <v>0.621162999999995</v>
      </c>
      <c r="F166" s="1">
        <v>0.804484999999991</v>
      </c>
      <c r="G166" s="1">
        <v>0.861185999999974</v>
      </c>
      <c r="H166" s="1">
        <v>0.877270999999973</v>
      </c>
      <c r="I166" s="1">
        <v>0.88119299999997</v>
      </c>
      <c r="J166" s="1">
        <v>0.882009999999974</v>
      </c>
    </row>
    <row r="167">
      <c r="E167" s="1">
        <v>0.630344999999997</v>
      </c>
      <c r="F167" s="1">
        <v>0.762395999999993</v>
      </c>
      <c r="G167" s="1">
        <v>0.834646999999988</v>
      </c>
      <c r="H167" s="1">
        <v>0.85590599999998</v>
      </c>
      <c r="I167" s="1">
        <v>0.86085499999998</v>
      </c>
      <c r="J167" s="1">
        <v>0.86205099999998</v>
      </c>
    </row>
    <row r="168">
      <c r="E168" s="1" t="s">
        <v>203</v>
      </c>
      <c r="F168" s="1" t="s">
        <v>204</v>
      </c>
      <c r="G168" s="1" t="s">
        <v>205</v>
      </c>
      <c r="H168" s="1" t="s">
        <v>205</v>
      </c>
      <c r="I168" s="1" t="s">
        <v>205</v>
      </c>
      <c r="J168" s="1" t="s">
        <v>205</v>
      </c>
    </row>
    <row r="169">
      <c r="D169" s="1">
        <v>0.490936999999999</v>
      </c>
      <c r="E169" s="1">
        <v>0.672419</v>
      </c>
      <c r="F169" s="1">
        <v>0.819542</v>
      </c>
      <c r="G169" s="1">
        <v>0.86221</v>
      </c>
      <c r="H169" s="1">
        <v>0.877293</v>
      </c>
      <c r="I169" s="1">
        <v>0.88119299999997</v>
      </c>
      <c r="J169" s="1">
        <v>0.882009999999974</v>
      </c>
    </row>
    <row r="170">
      <c r="D170" s="1" t="s">
        <v>206</v>
      </c>
      <c r="E170" s="1" t="s">
        <v>207</v>
      </c>
      <c r="F170" s="1" t="s">
        <v>206</v>
      </c>
      <c r="G170" s="1" t="s">
        <v>205</v>
      </c>
      <c r="H170" s="1" t="s">
        <v>205</v>
      </c>
      <c r="I170" s="1" t="s">
        <v>205</v>
      </c>
      <c r="J170" s="1" t="s">
        <v>205</v>
      </c>
    </row>
    <row r="175">
      <c r="A175" s="1" t="s">
        <v>208</v>
      </c>
      <c r="B175" s="2"/>
      <c r="C175" s="2"/>
      <c r="D175" s="2"/>
      <c r="E175" s="2"/>
    </row>
    <row r="176">
      <c r="A176" s="24" t="s">
        <v>209</v>
      </c>
      <c r="B176" s="1">
        <v>0.863829999999979</v>
      </c>
      <c r="C176" s="1">
        <v>82.5671</v>
      </c>
      <c r="D176" s="1">
        <v>3.4116</v>
      </c>
      <c r="E176" s="1">
        <v>25.7348</v>
      </c>
    </row>
    <row r="177">
      <c r="A177" s="23" t="s">
        <v>210</v>
      </c>
      <c r="B177" s="18">
        <v>0.866050999999976</v>
      </c>
      <c r="C177" s="18">
        <v>69.5113</v>
      </c>
      <c r="D177" s="18">
        <v>-9.6442</v>
      </c>
      <c r="E177" s="18">
        <v>11.5994</v>
      </c>
    </row>
    <row r="178">
      <c r="A178" s="24" t="s">
        <v>211</v>
      </c>
      <c r="B178" s="1">
        <v>0.855160999999978</v>
      </c>
      <c r="C178" s="1">
        <v>63.753</v>
      </c>
      <c r="D178" s="1">
        <v>-15.4025</v>
      </c>
      <c r="E178" s="1">
        <v>6.4973</v>
      </c>
    </row>
    <row r="179">
      <c r="A179" s="2"/>
      <c r="B179" s="2"/>
      <c r="C179" s="2"/>
      <c r="D179" s="2"/>
      <c r="E179" s="2"/>
    </row>
    <row r="180">
      <c r="A180" s="24" t="s">
        <v>212</v>
      </c>
      <c r="B180" s="1">
        <v>0.857168999999983</v>
      </c>
      <c r="C180" s="1">
        <v>1.9329</v>
      </c>
      <c r="D180" s="1">
        <v>-77.2226</v>
      </c>
      <c r="E180" s="1">
        <v>13.876</v>
      </c>
    </row>
    <row r="181">
      <c r="A181" s="24" t="s">
        <v>213</v>
      </c>
      <c r="B181" s="1">
        <v>0.934171999999952</v>
      </c>
      <c r="C181" s="1">
        <v>13.1347</v>
      </c>
      <c r="D181" s="1">
        <v>-66.0208</v>
      </c>
      <c r="E181" s="1">
        <v>21.14</v>
      </c>
    </row>
    <row r="182">
      <c r="A182" s="23" t="s">
        <v>214</v>
      </c>
      <c r="B182" s="18">
        <v>0.951531999999943</v>
      </c>
      <c r="C182" s="18">
        <v>48.5338</v>
      </c>
      <c r="D182" s="18">
        <v>-30.628</v>
      </c>
      <c r="E182" s="18">
        <v>27.8006</v>
      </c>
      <c r="F182" s="1">
        <v>0.952910999999941</v>
      </c>
    </row>
    <row r="183">
      <c r="A183" s="24" t="s">
        <v>215</v>
      </c>
      <c r="B183" s="1">
        <v>0.936437999999952</v>
      </c>
      <c r="C183" s="1">
        <v>76.5106</v>
      </c>
      <c r="D183" s="1">
        <v>-2.645</v>
      </c>
      <c r="E183" s="1">
        <v>18.0508</v>
      </c>
    </row>
    <row r="184">
      <c r="A184" s="2"/>
      <c r="B184" s="2"/>
      <c r="C184" s="2"/>
      <c r="D184" s="2"/>
      <c r="E184" s="2"/>
    </row>
    <row r="185">
      <c r="A185" s="24" t="s">
        <v>216</v>
      </c>
      <c r="B185" s="1">
        <v>0.952310999999945</v>
      </c>
      <c r="C185" s="1">
        <v>80.3533</v>
      </c>
      <c r="D185" s="1">
        <v>1.1978</v>
      </c>
      <c r="E185" s="1">
        <v>4.2583</v>
      </c>
    </row>
    <row r="186">
      <c r="A186" s="23" t="s">
        <v>217</v>
      </c>
      <c r="B186" s="18">
        <v>0.964101999999946</v>
      </c>
      <c r="C186" s="18">
        <v>82.4556</v>
      </c>
      <c r="D186" s="18">
        <v>3.3</v>
      </c>
      <c r="E186" s="18">
        <v>4.9075</v>
      </c>
    </row>
    <row r="187">
      <c r="A187" s="24" t="s">
        <v>218</v>
      </c>
      <c r="B187" s="1">
        <v>0.963175999999946</v>
      </c>
      <c r="C187" s="1">
        <v>83.7559</v>
      </c>
      <c r="D187" s="1">
        <v>4.6003</v>
      </c>
      <c r="E187" s="1">
        <v>5.9434</v>
      </c>
    </row>
    <row r="190">
      <c r="A190" s="1" t="s">
        <v>201</v>
      </c>
      <c r="B190" s="1">
        <v>1.0</v>
      </c>
      <c r="C190" s="1">
        <v>2.0</v>
      </c>
      <c r="D190" s="1">
        <v>4.0</v>
      </c>
      <c r="E190" s="1">
        <v>8.0</v>
      </c>
      <c r="F190" s="1">
        <v>16.0</v>
      </c>
      <c r="G190" s="1">
        <v>32.0</v>
      </c>
      <c r="H190" s="1">
        <v>64.0</v>
      </c>
      <c r="I190" s="1">
        <v>128.0</v>
      </c>
      <c r="J190" s="1">
        <v>256.0</v>
      </c>
      <c r="K190" s="1" t="s">
        <v>219</v>
      </c>
    </row>
    <row r="191">
      <c r="A191" s="24"/>
      <c r="C191" s="1"/>
      <c r="D191" s="1"/>
      <c r="E191" s="1"/>
      <c r="F191" s="1"/>
      <c r="G191" s="1"/>
      <c r="H191" s="1"/>
      <c r="I191" s="1"/>
      <c r="J191" s="1"/>
    </row>
    <row r="192">
      <c r="A192" s="23" t="s">
        <v>214</v>
      </c>
      <c r="C192" s="1">
        <v>0.257719</v>
      </c>
      <c r="D192" s="1">
        <v>0.437867000000001</v>
      </c>
      <c r="E192" s="1">
        <v>0.400185999999999</v>
      </c>
      <c r="F192" s="1" t="s">
        <v>220</v>
      </c>
      <c r="G192" s="1" t="s">
        <v>221</v>
      </c>
      <c r="H192" s="1" t="s">
        <v>222</v>
      </c>
      <c r="I192" s="1">
        <v>0.947604999999951</v>
      </c>
      <c r="J192" s="1">
        <v>0.950759999999948</v>
      </c>
      <c r="K192" s="1">
        <v>0.951531999999943</v>
      </c>
    </row>
    <row r="193">
      <c r="A193" s="1">
        <f>5/44</f>
        <v>0.1136363636</v>
      </c>
      <c r="C193" s="26"/>
      <c r="D193" s="27"/>
      <c r="F193" s="1" t="s">
        <v>223</v>
      </c>
      <c r="G193" s="18" t="s">
        <v>224</v>
      </c>
      <c r="H193" s="1" t="s">
        <v>225</v>
      </c>
      <c r="I193" s="18" t="s">
        <v>226</v>
      </c>
      <c r="J193" s="18" t="s">
        <v>227</v>
      </c>
      <c r="K193" s="18" t="s">
        <v>228</v>
      </c>
    </row>
    <row r="194">
      <c r="A194" s="1">
        <f>5/48</f>
        <v>0.1041666667</v>
      </c>
      <c r="B194" s="1"/>
      <c r="C194" s="28"/>
      <c r="D194" s="1"/>
      <c r="E194" s="1">
        <v>0.481456999999998</v>
      </c>
      <c r="F194" s="1" t="s">
        <v>229</v>
      </c>
      <c r="G194" s="1" t="s">
        <v>230</v>
      </c>
      <c r="H194" s="18" t="s">
        <v>231</v>
      </c>
      <c r="I194" s="1" t="s">
        <v>232</v>
      </c>
      <c r="J194" s="1" t="s">
        <v>233</v>
      </c>
      <c r="K194" s="1" t="s">
        <v>234</v>
      </c>
    </row>
    <row r="195">
      <c r="A195" s="29">
        <f>5/52</f>
        <v>0.09615384615</v>
      </c>
      <c r="B195" s="1"/>
      <c r="C195" s="1"/>
      <c r="D195" s="28"/>
      <c r="E195" s="1">
        <v>0.508719999999999</v>
      </c>
      <c r="F195" s="1" t="s">
        <v>235</v>
      </c>
      <c r="G195" s="18" t="s">
        <v>236</v>
      </c>
      <c r="H195" s="1" t="s">
        <v>237</v>
      </c>
    </row>
    <row r="196">
      <c r="A196" s="28">
        <f>5/56</f>
        <v>0.08928571429</v>
      </c>
      <c r="B196" s="28"/>
      <c r="C196" s="28"/>
      <c r="D196" s="29"/>
      <c r="E196" s="1">
        <v>0.529280000000003</v>
      </c>
      <c r="F196" s="18" t="s">
        <v>238</v>
      </c>
      <c r="G196" s="29" t="s">
        <v>239</v>
      </c>
      <c r="H196" s="1"/>
      <c r="I196" s="1"/>
      <c r="J196" s="2"/>
      <c r="K196" s="2"/>
      <c r="L196" s="2"/>
    </row>
    <row r="197">
      <c r="A197" s="28">
        <f>1/12</f>
        <v>0.08333333333</v>
      </c>
      <c r="B197" s="28"/>
      <c r="C197" s="28"/>
      <c r="D197" s="28"/>
      <c r="E197" s="29">
        <v>0.543811</v>
      </c>
      <c r="F197" s="29" t="s">
        <v>240</v>
      </c>
      <c r="G197" s="29" t="s">
        <v>241</v>
      </c>
      <c r="H197" s="30"/>
      <c r="I197" s="30"/>
      <c r="J197" s="30"/>
      <c r="K197" s="30"/>
      <c r="L197" s="30"/>
    </row>
    <row r="198">
      <c r="A198" s="1">
        <f>5/64</f>
        <v>0.078125</v>
      </c>
      <c r="B198" s="30"/>
      <c r="C198" s="30"/>
      <c r="D198" s="30"/>
      <c r="E198" s="29">
        <v>0.554208999999999</v>
      </c>
      <c r="F198" s="29" t="s">
        <v>242</v>
      </c>
      <c r="G198" s="30"/>
      <c r="H198" s="30"/>
      <c r="I198" s="30"/>
      <c r="J198" s="30"/>
      <c r="K198" s="30"/>
      <c r="L198" s="30"/>
    </row>
    <row r="199">
      <c r="A199" s="28">
        <f>5/68</f>
        <v>0.07352941176</v>
      </c>
      <c r="E199" s="1">
        <v>0.561165</v>
      </c>
      <c r="F199" s="1" t="s">
        <v>243</v>
      </c>
    </row>
    <row r="200">
      <c r="A200" s="28">
        <f>5/72</f>
        <v>0.06944444444</v>
      </c>
      <c r="B200" s="28"/>
      <c r="C200" s="28"/>
      <c r="D200" s="1"/>
      <c r="E200" s="29" t="s">
        <v>244</v>
      </c>
      <c r="F200" s="31" t="s">
        <v>245</v>
      </c>
      <c r="G200" s="29"/>
      <c r="H200" s="1"/>
      <c r="I200" s="1"/>
      <c r="J200" s="28"/>
      <c r="K200" s="1"/>
      <c r="L200" s="1"/>
      <c r="M200" s="2"/>
      <c r="N200" s="2"/>
      <c r="O200" s="2"/>
    </row>
    <row r="201">
      <c r="A201" s="1">
        <f>5/76</f>
        <v>0.06578947368</v>
      </c>
      <c r="B201" s="28"/>
      <c r="C201" s="28"/>
      <c r="D201" s="28"/>
      <c r="E201" s="29" t="s">
        <v>246</v>
      </c>
      <c r="F201" s="29" t="s">
        <v>247</v>
      </c>
      <c r="G201" s="28"/>
      <c r="H201" s="28"/>
      <c r="I201" s="28"/>
      <c r="J201" s="28"/>
      <c r="K201" s="30"/>
      <c r="L201" s="30"/>
      <c r="M201" s="30"/>
      <c r="N201" s="30"/>
      <c r="O201" s="30"/>
    </row>
    <row r="202">
      <c r="A202" s="1">
        <f>1/16</f>
        <v>0.0625</v>
      </c>
      <c r="B202" s="30"/>
      <c r="C202" s="30"/>
      <c r="D202" s="30"/>
      <c r="E202" s="30"/>
      <c r="F202" s="29" t="s">
        <v>248</v>
      </c>
      <c r="G202" s="30"/>
      <c r="H202" s="30"/>
      <c r="I202" s="30"/>
      <c r="J202" s="30"/>
      <c r="K202" s="30"/>
      <c r="L202" s="30"/>
      <c r="M202" s="30"/>
      <c r="N202" s="30"/>
      <c r="O202" s="30"/>
    </row>
    <row r="203">
      <c r="B203" s="1" t="s">
        <v>249</v>
      </c>
      <c r="C203" s="1">
        <v>0.257509999999999</v>
      </c>
      <c r="D203" s="1">
        <v>0.475154000000003</v>
      </c>
      <c r="E203" s="1">
        <v>0.637174999999999</v>
      </c>
      <c r="F203" s="1">
        <v>0.724860999999991</v>
      </c>
      <c r="G203" s="1">
        <v>0.745568999999995</v>
      </c>
      <c r="H203" s="1">
        <v>0.751584999999991</v>
      </c>
      <c r="I203" s="1">
        <v>0.753104999999992</v>
      </c>
      <c r="J203" s="1">
        <v>0.753434999999992</v>
      </c>
    </row>
    <row r="204">
      <c r="B204" s="1" t="s">
        <v>250</v>
      </c>
      <c r="C204" s="1">
        <v>0.257429999999999</v>
      </c>
      <c r="D204" s="1">
        <v>0.469211000000001</v>
      </c>
      <c r="E204" s="1">
        <v>0.604615999999998</v>
      </c>
      <c r="F204" s="1">
        <v>0.669715999999998</v>
      </c>
      <c r="G204" s="1">
        <v>0.687678999999995</v>
      </c>
      <c r="H204" s="1">
        <v>0.693320999999996</v>
      </c>
      <c r="I204" s="1">
        <v>0.694831999999997</v>
      </c>
      <c r="J204" s="1">
        <v>0.695228999999997</v>
      </c>
    </row>
    <row r="205">
      <c r="A205" s="1">
        <f>1/16</f>
        <v>0.0625</v>
      </c>
      <c r="B205" s="1">
        <f>5/76</f>
        <v>0.06578947368</v>
      </c>
      <c r="C205" s="28">
        <f>5/72</f>
        <v>0.06944444444</v>
      </c>
      <c r="D205" s="28">
        <f>5/68</f>
        <v>0.07352941176</v>
      </c>
      <c r="E205" s="1">
        <f>5/64</f>
        <v>0.078125</v>
      </c>
      <c r="F205" s="28">
        <f>1/12</f>
        <v>0.08333333333</v>
      </c>
      <c r="G205" s="28">
        <f>5/56</f>
        <v>0.08928571429</v>
      </c>
      <c r="H205" s="29">
        <f>5/52</f>
        <v>0.09615384615</v>
      </c>
      <c r="I205" s="1">
        <f>5/48</f>
        <v>0.1041666667</v>
      </c>
      <c r="J205" s="1">
        <f>5/44</f>
        <v>0.1136363636</v>
      </c>
      <c r="K205" s="28">
        <v>0.125</v>
      </c>
      <c r="L205" s="1">
        <f>5/36</f>
        <v>0.1388888889</v>
      </c>
      <c r="M205" s="1">
        <f>5/32</f>
        <v>0.15625</v>
      </c>
      <c r="N205" s="2">
        <f>5/28</f>
        <v>0.1785714286</v>
      </c>
      <c r="O205" s="2">
        <f>5/24</f>
        <v>0.2083333333</v>
      </c>
      <c r="P205" s="2">
        <f>1/4</f>
        <v>0.25</v>
      </c>
    </row>
    <row r="206">
      <c r="A206" s="28">
        <f t="shared" ref="A206:P206" si="2">(1 - 4*A205)</f>
        <v>0.75</v>
      </c>
      <c r="B206" s="28">
        <f t="shared" si="2"/>
        <v>0.7368421053</v>
      </c>
      <c r="C206" s="28">
        <f t="shared" si="2"/>
        <v>0.7222222222</v>
      </c>
      <c r="D206" s="28">
        <f t="shared" si="2"/>
        <v>0.7058823529</v>
      </c>
      <c r="E206" s="28">
        <f t="shared" si="2"/>
        <v>0.6875</v>
      </c>
      <c r="F206" s="28">
        <f t="shared" si="2"/>
        <v>0.6666666667</v>
      </c>
      <c r="G206" s="28">
        <f t="shared" si="2"/>
        <v>0.6428571429</v>
      </c>
      <c r="H206" s="28">
        <f t="shared" si="2"/>
        <v>0.6153846154</v>
      </c>
      <c r="I206" s="28">
        <f t="shared" si="2"/>
        <v>0.5833333333</v>
      </c>
      <c r="J206" s="28">
        <f t="shared" si="2"/>
        <v>0.5454545455</v>
      </c>
      <c r="K206" s="28">
        <f t="shared" si="2"/>
        <v>0.5</v>
      </c>
      <c r="L206" s="30">
        <f t="shared" si="2"/>
        <v>0.4444444444</v>
      </c>
      <c r="M206" s="30">
        <f t="shared" si="2"/>
        <v>0.375</v>
      </c>
      <c r="N206" s="30">
        <f t="shared" si="2"/>
        <v>0.2857142857</v>
      </c>
      <c r="O206" s="30">
        <f t="shared" si="2"/>
        <v>0.1666666667</v>
      </c>
      <c r="P206" s="30">
        <f t="shared" si="2"/>
        <v>0</v>
      </c>
    </row>
    <row r="207">
      <c r="A207" s="30">
        <f t="shared" ref="A207:P207" si="3">A206/(1-A206)</f>
        <v>3</v>
      </c>
      <c r="B207" s="30">
        <f t="shared" si="3"/>
        <v>2.8</v>
      </c>
      <c r="C207" s="30">
        <f t="shared" si="3"/>
        <v>2.6</v>
      </c>
      <c r="D207" s="30">
        <f t="shared" si="3"/>
        <v>2.4</v>
      </c>
      <c r="E207" s="30">
        <f t="shared" si="3"/>
        <v>2.2</v>
      </c>
      <c r="F207" s="30">
        <f t="shared" si="3"/>
        <v>2</v>
      </c>
      <c r="G207" s="30">
        <f t="shared" si="3"/>
        <v>1.8</v>
      </c>
      <c r="H207" s="30">
        <f t="shared" si="3"/>
        <v>1.6</v>
      </c>
      <c r="I207" s="30">
        <f t="shared" si="3"/>
        <v>1.4</v>
      </c>
      <c r="J207" s="30">
        <f t="shared" si="3"/>
        <v>1.2</v>
      </c>
      <c r="K207" s="30">
        <f t="shared" si="3"/>
        <v>1</v>
      </c>
      <c r="L207" s="30">
        <f t="shared" si="3"/>
        <v>0.8</v>
      </c>
      <c r="M207" s="30">
        <f t="shared" si="3"/>
        <v>0.6</v>
      </c>
      <c r="N207" s="30">
        <f t="shared" si="3"/>
        <v>0.4</v>
      </c>
      <c r="O207" s="30">
        <f t="shared" si="3"/>
        <v>0.2</v>
      </c>
      <c r="P207" s="30">
        <f t="shared" si="3"/>
        <v>0</v>
      </c>
    </row>
    <row r="208">
      <c r="C208" s="2"/>
      <c r="D208" s="2"/>
      <c r="E208" s="2"/>
      <c r="F208" s="2"/>
      <c r="G208" s="2"/>
      <c r="H208" s="2"/>
    </row>
    <row r="209">
      <c r="A209" s="23" t="s">
        <v>214</v>
      </c>
      <c r="B209" s="1">
        <v>1.0</v>
      </c>
      <c r="C209" s="1">
        <v>2.0</v>
      </c>
      <c r="D209" s="1">
        <v>4.0</v>
      </c>
      <c r="E209" s="1">
        <v>8.0</v>
      </c>
      <c r="F209" s="1">
        <v>16.0</v>
      </c>
      <c r="G209" s="1">
        <v>32.0</v>
      </c>
      <c r="H209" s="1">
        <v>64.0</v>
      </c>
      <c r="I209" s="1">
        <v>128.0</v>
      </c>
      <c r="J209" s="1">
        <v>256.0</v>
      </c>
    </row>
    <row r="210">
      <c r="A210" s="1">
        <v>0.0</v>
      </c>
      <c r="B210" s="1"/>
      <c r="C210" s="1">
        <v>0.257429999999999</v>
      </c>
      <c r="D210" s="1">
        <v>0.469211000000001</v>
      </c>
      <c r="E210" s="1">
        <v>0.604615999999998</v>
      </c>
      <c r="F210" s="1">
        <v>0.669715999999998</v>
      </c>
      <c r="G210" s="1">
        <v>0.687678999999995</v>
      </c>
      <c r="H210" s="1">
        <v>0.693320999999996</v>
      </c>
      <c r="I210" s="1">
        <v>0.694831999999997</v>
      </c>
      <c r="J210" s="1">
        <v>0.695228999999997</v>
      </c>
    </row>
    <row r="211">
      <c r="A211" s="1">
        <f>1/64</f>
        <v>0.015625</v>
      </c>
      <c r="B211" s="32"/>
      <c r="F211" s="1" t="s">
        <v>251</v>
      </c>
      <c r="G211" s="1" t="s">
        <v>252</v>
      </c>
      <c r="H211" s="1" t="s">
        <v>253</v>
      </c>
      <c r="I211" s="1" t="s">
        <v>254</v>
      </c>
      <c r="J211" s="1" t="s">
        <v>255</v>
      </c>
    </row>
    <row r="212">
      <c r="A212" s="1">
        <f>1/32</f>
        <v>0.03125</v>
      </c>
      <c r="G212" s="1" t="s">
        <v>256</v>
      </c>
      <c r="H212" s="1" t="s">
        <v>257</v>
      </c>
      <c r="I212" s="1" t="s">
        <v>258</v>
      </c>
      <c r="J212" s="1" t="s">
        <v>259</v>
      </c>
    </row>
    <row r="213">
      <c r="A213" s="2">
        <f>3/64</f>
        <v>0.046875</v>
      </c>
      <c r="E213" s="1"/>
      <c r="G213" s="1" t="s">
        <v>260</v>
      </c>
      <c r="H213" s="1" t="s">
        <v>261</v>
      </c>
      <c r="I213" s="1" t="s">
        <v>262</v>
      </c>
      <c r="J213" s="1" t="s">
        <v>263</v>
      </c>
    </row>
    <row r="214">
      <c r="A214" s="2">
        <f>1/16</f>
        <v>0.0625</v>
      </c>
      <c r="G214" s="1" t="s">
        <v>264</v>
      </c>
      <c r="H214" s="1" t="s">
        <v>265</v>
      </c>
      <c r="I214" s="1" t="s">
        <v>266</v>
      </c>
      <c r="J214" s="1" t="s">
        <v>267</v>
      </c>
    </row>
    <row r="215">
      <c r="A215" s="2">
        <f>5/64</f>
        <v>0.078125</v>
      </c>
      <c r="G215" s="1" t="s">
        <v>268</v>
      </c>
      <c r="H215" s="1" t="s">
        <v>269</v>
      </c>
      <c r="I215" s="1" t="s">
        <v>270</v>
      </c>
      <c r="J215" s="1" t="s">
        <v>271</v>
      </c>
    </row>
    <row r="216">
      <c r="A216" s="2">
        <f>3/32</f>
        <v>0.09375</v>
      </c>
      <c r="G216" s="18" t="s">
        <v>272</v>
      </c>
      <c r="H216" s="1" t="s">
        <v>273</v>
      </c>
      <c r="I216" s="1" t="s">
        <v>274</v>
      </c>
      <c r="J216" s="1" t="s">
        <v>275</v>
      </c>
    </row>
    <row r="217">
      <c r="A217" s="1">
        <f>7/64</f>
        <v>0.109375</v>
      </c>
      <c r="G217" s="1" t="s">
        <v>276</v>
      </c>
      <c r="H217" s="18" t="s">
        <v>277</v>
      </c>
      <c r="I217" s="18" t="s">
        <v>278</v>
      </c>
      <c r="J217" s="18" t="s">
        <v>279</v>
      </c>
    </row>
    <row r="218">
      <c r="A218" s="2">
        <f>1/8</f>
        <v>0.125</v>
      </c>
      <c r="G218" s="1" t="s">
        <v>280</v>
      </c>
      <c r="H218" s="1" t="s">
        <v>281</v>
      </c>
      <c r="I218" s="1" t="s">
        <v>282</v>
      </c>
      <c r="J218" s="1" t="s">
        <v>283</v>
      </c>
    </row>
    <row r="219">
      <c r="A219" s="1">
        <f>9/64</f>
        <v>0.140625</v>
      </c>
      <c r="J219" s="1" t="s">
        <v>284</v>
      </c>
    </row>
    <row r="220">
      <c r="A220" s="1">
        <f>5/32</f>
        <v>0.15625</v>
      </c>
    </row>
    <row r="221">
      <c r="A221" s="2">
        <f>11/64</f>
        <v>0.171875</v>
      </c>
    </row>
    <row r="222">
      <c r="A222" s="1">
        <f>3/16</f>
        <v>0.1875</v>
      </c>
    </row>
    <row r="223">
      <c r="A223" s="2">
        <f>13/64</f>
        <v>0.203125</v>
      </c>
    </row>
    <row r="224">
      <c r="A224" s="2">
        <f>7/32</f>
        <v>0.21875</v>
      </c>
    </row>
    <row r="225">
      <c r="A225" s="2">
        <f>15/64</f>
        <v>0.234375</v>
      </c>
    </row>
    <row r="226">
      <c r="A226" s="2">
        <f>1/4</f>
        <v>0.25</v>
      </c>
    </row>
    <row r="228">
      <c r="A228" s="23" t="s">
        <v>214</v>
      </c>
      <c r="B228" s="1">
        <v>1.0</v>
      </c>
      <c r="C228" s="1">
        <v>2.0</v>
      </c>
      <c r="D228" s="1">
        <v>4.0</v>
      </c>
      <c r="E228" s="1">
        <v>8.0</v>
      </c>
      <c r="F228" s="1">
        <v>16.0</v>
      </c>
      <c r="G228" s="1">
        <v>32.0</v>
      </c>
      <c r="H228" s="1">
        <v>64.0</v>
      </c>
      <c r="I228" s="1">
        <v>128.0</v>
      </c>
      <c r="J228" s="1">
        <v>256.0</v>
      </c>
    </row>
    <row r="229">
      <c r="A229" s="1">
        <v>0.0</v>
      </c>
      <c r="B229" s="1"/>
      <c r="C229" s="18">
        <v>0.257429999999999</v>
      </c>
      <c r="D229" s="18">
        <v>0.469211000000001</v>
      </c>
      <c r="E229" s="1">
        <v>0.604615999999998</v>
      </c>
      <c r="F229" s="1">
        <v>0.669715999999998</v>
      </c>
      <c r="G229" s="1">
        <v>0.687678999999995</v>
      </c>
      <c r="H229" s="1">
        <v>0.693320999999996</v>
      </c>
      <c r="I229" s="1">
        <v>0.694831999999997</v>
      </c>
      <c r="J229" s="1">
        <v>0.695228999999997</v>
      </c>
    </row>
    <row r="230">
      <c r="A230" s="1">
        <f>1/64</f>
        <v>0.015625</v>
      </c>
      <c r="B230" s="32"/>
      <c r="D230" s="1" t="s">
        <v>285</v>
      </c>
      <c r="E230" s="1" t="s">
        <v>286</v>
      </c>
      <c r="F230" s="1" t="s">
        <v>287</v>
      </c>
      <c r="G230" s="1" t="s">
        <v>288</v>
      </c>
      <c r="H230" s="1" t="s">
        <v>289</v>
      </c>
      <c r="I230" s="1"/>
    </row>
    <row r="231">
      <c r="A231" s="1">
        <f>1/32</f>
        <v>0.03125</v>
      </c>
      <c r="D231" s="1" t="s">
        <v>290</v>
      </c>
      <c r="E231" s="1" t="s">
        <v>291</v>
      </c>
      <c r="F231" s="1" t="s">
        <v>292</v>
      </c>
      <c r="G231" s="1" t="s">
        <v>293</v>
      </c>
      <c r="H231" s="1" t="s">
        <v>294</v>
      </c>
      <c r="I231" s="1"/>
    </row>
    <row r="232">
      <c r="A232" s="2">
        <f>3/64</f>
        <v>0.046875</v>
      </c>
      <c r="E232" s="1" t="s">
        <v>295</v>
      </c>
      <c r="F232" s="1" t="s">
        <v>296</v>
      </c>
      <c r="G232" s="1" t="s">
        <v>297</v>
      </c>
      <c r="H232" s="1" t="s">
        <v>298</v>
      </c>
      <c r="I232" s="1"/>
    </row>
    <row r="233">
      <c r="A233" s="2">
        <f>1/16</f>
        <v>0.0625</v>
      </c>
      <c r="E233" s="1" t="s">
        <v>299</v>
      </c>
      <c r="F233" s="1" t="s">
        <v>300</v>
      </c>
      <c r="G233" s="1" t="s">
        <v>301</v>
      </c>
      <c r="H233" s="1" t="s">
        <v>302</v>
      </c>
      <c r="I233" s="1"/>
    </row>
    <row r="234">
      <c r="A234" s="2">
        <f>5/64</f>
        <v>0.078125</v>
      </c>
      <c r="E234" s="1" t="s">
        <v>303</v>
      </c>
      <c r="F234" s="1" t="s">
        <v>304</v>
      </c>
      <c r="G234" s="1" t="s">
        <v>305</v>
      </c>
      <c r="H234" s="1" t="s">
        <v>306</v>
      </c>
      <c r="I234" s="1"/>
    </row>
    <row r="235">
      <c r="A235" s="2">
        <f>3/32</f>
        <v>0.09375</v>
      </c>
      <c r="E235" s="1" t="s">
        <v>307</v>
      </c>
      <c r="F235" s="1" t="s">
        <v>308</v>
      </c>
      <c r="G235" s="33" t="s">
        <v>309</v>
      </c>
      <c r="H235" s="1" t="s">
        <v>310</v>
      </c>
      <c r="I235" s="1"/>
    </row>
    <row r="236">
      <c r="A236" s="1">
        <f>7/64</f>
        <v>0.109375</v>
      </c>
      <c r="E236" s="1" t="s">
        <v>311</v>
      </c>
      <c r="F236" s="1" t="s">
        <v>312</v>
      </c>
      <c r="G236" s="1" t="s">
        <v>313</v>
      </c>
      <c r="H236" s="33" t="s">
        <v>314</v>
      </c>
      <c r="I236" s="18"/>
    </row>
    <row r="237">
      <c r="A237" s="2">
        <f>1/8</f>
        <v>0.125</v>
      </c>
      <c r="E237" s="18" t="s">
        <v>315</v>
      </c>
      <c r="F237" s="1" t="s">
        <v>316</v>
      </c>
      <c r="G237" s="1" t="s">
        <v>317</v>
      </c>
      <c r="H237" s="1" t="s">
        <v>318</v>
      </c>
      <c r="I237" s="1"/>
    </row>
    <row r="238">
      <c r="A238" s="1">
        <f>9/64</f>
        <v>0.140625</v>
      </c>
      <c r="E238" s="1" t="s">
        <v>319</v>
      </c>
      <c r="F238" s="1" t="s">
        <v>320</v>
      </c>
      <c r="G238" s="1" t="s">
        <v>321</v>
      </c>
      <c r="H238" s="1" t="s">
        <v>322</v>
      </c>
    </row>
    <row r="239">
      <c r="A239" s="1">
        <f>5/32</f>
        <v>0.15625</v>
      </c>
      <c r="E239" s="1" t="s">
        <v>323</v>
      </c>
      <c r="F239" s="1" t="s">
        <v>324</v>
      </c>
      <c r="G239" s="1" t="s">
        <v>325</v>
      </c>
      <c r="H239" s="1" t="s">
        <v>326</v>
      </c>
    </row>
    <row r="240">
      <c r="A240" s="2">
        <f>11/64</f>
        <v>0.171875</v>
      </c>
      <c r="F240" s="1" t="s">
        <v>327</v>
      </c>
      <c r="G240" s="1" t="s">
        <v>328</v>
      </c>
      <c r="H240" s="1" t="s">
        <v>329</v>
      </c>
    </row>
    <row r="241">
      <c r="A241" s="1">
        <f>3/16</f>
        <v>0.1875</v>
      </c>
      <c r="F241" s="1" t="s">
        <v>330</v>
      </c>
      <c r="G241" s="1" t="s">
        <v>331</v>
      </c>
      <c r="H241" s="1" t="s">
        <v>332</v>
      </c>
    </row>
    <row r="242">
      <c r="A242" s="2">
        <f>13/64</f>
        <v>0.203125</v>
      </c>
      <c r="F242" s="18" t="s">
        <v>333</v>
      </c>
      <c r="G242" s="1" t="s">
        <v>334</v>
      </c>
      <c r="H242" s="1" t="s">
        <v>335</v>
      </c>
    </row>
    <row r="243">
      <c r="A243" s="2">
        <f>7/32</f>
        <v>0.21875</v>
      </c>
      <c r="F243" s="1" t="s">
        <v>336</v>
      </c>
      <c r="G243" s="1" t="s">
        <v>337</v>
      </c>
      <c r="H243" s="1" t="s">
        <v>338</v>
      </c>
    </row>
    <row r="244">
      <c r="A244" s="13">
        <f>15/64</f>
        <v>0.234375</v>
      </c>
      <c r="B244" s="14"/>
      <c r="C244" s="14"/>
      <c r="D244" s="14"/>
      <c r="E244" s="14"/>
      <c r="F244" s="14"/>
      <c r="G244" s="34" t="s">
        <v>339</v>
      </c>
      <c r="H244" s="34" t="s">
        <v>340</v>
      </c>
    </row>
    <row r="245">
      <c r="A245" s="2">
        <f>1/4</f>
        <v>0.25</v>
      </c>
      <c r="G245" s="1" t="s">
        <v>341</v>
      </c>
      <c r="H245" s="1" t="s">
        <v>342</v>
      </c>
    </row>
    <row r="246">
      <c r="A246" s="2">
        <f>17/64</f>
        <v>0.265625</v>
      </c>
      <c r="H246" s="1" t="s">
        <v>343</v>
      </c>
    </row>
    <row r="247">
      <c r="A247" s="23" t="s">
        <v>344</v>
      </c>
      <c r="B247" s="1">
        <v>1.0</v>
      </c>
      <c r="C247" s="1">
        <v>2.0</v>
      </c>
      <c r="D247" s="1">
        <v>4.0</v>
      </c>
      <c r="E247" s="1">
        <v>8.0</v>
      </c>
      <c r="F247" s="1">
        <v>16.0</v>
      </c>
      <c r="G247" s="1">
        <v>32.0</v>
      </c>
      <c r="H247" s="1">
        <v>64.0</v>
      </c>
      <c r="I247" s="1">
        <v>128.0</v>
      </c>
      <c r="J247" s="1">
        <v>256.0</v>
      </c>
    </row>
    <row r="248">
      <c r="A248" s="1">
        <v>0.0</v>
      </c>
      <c r="B248" s="1"/>
      <c r="C248" s="18">
        <v>0.257429999999999</v>
      </c>
      <c r="D248" s="18">
        <v>0.469211000000001</v>
      </c>
      <c r="E248" s="1">
        <v>0.604615999999998</v>
      </c>
      <c r="F248" s="1">
        <v>0.669715999999998</v>
      </c>
      <c r="G248" s="1">
        <v>0.687678999999995</v>
      </c>
      <c r="H248" s="1">
        <v>0.693320999999996</v>
      </c>
      <c r="I248" s="1">
        <v>0.694831999999997</v>
      </c>
      <c r="J248" s="1">
        <v>0.695228999999997</v>
      </c>
    </row>
    <row r="249">
      <c r="A249" s="1">
        <f>1/64</f>
        <v>0.015625</v>
      </c>
      <c r="B249" s="32"/>
      <c r="E249" s="1" t="s">
        <v>345</v>
      </c>
      <c r="F249" s="1" t="s">
        <v>346</v>
      </c>
      <c r="G249" s="1" t="s">
        <v>347</v>
      </c>
      <c r="H249" s="1" t="s">
        <v>348</v>
      </c>
      <c r="I249" s="1"/>
    </row>
    <row r="250">
      <c r="A250" s="1">
        <f>1/32</f>
        <v>0.03125</v>
      </c>
      <c r="E250" s="1" t="s">
        <v>349</v>
      </c>
      <c r="F250" s="1" t="s">
        <v>350</v>
      </c>
      <c r="G250" s="1" t="s">
        <v>351</v>
      </c>
      <c r="H250" s="1" t="s">
        <v>352</v>
      </c>
      <c r="I250" s="1"/>
    </row>
    <row r="251">
      <c r="A251" s="2">
        <f>3/64</f>
        <v>0.046875</v>
      </c>
      <c r="E251" s="1" t="s">
        <v>353</v>
      </c>
      <c r="F251" s="1" t="s">
        <v>354</v>
      </c>
      <c r="G251" s="1" t="s">
        <v>355</v>
      </c>
      <c r="H251" s="1" t="s">
        <v>356</v>
      </c>
      <c r="I251" s="1"/>
    </row>
    <row r="252">
      <c r="A252" s="2">
        <f>1/16</f>
        <v>0.0625</v>
      </c>
      <c r="E252" s="1" t="s">
        <v>357</v>
      </c>
      <c r="F252" s="1" t="s">
        <v>358</v>
      </c>
      <c r="G252" s="1" t="s">
        <v>359</v>
      </c>
      <c r="H252" s="1" t="s">
        <v>360</v>
      </c>
      <c r="I252" s="1"/>
    </row>
    <row r="253">
      <c r="A253" s="2">
        <f>5/64</f>
        <v>0.078125</v>
      </c>
      <c r="E253" s="1" t="s">
        <v>361</v>
      </c>
      <c r="F253" s="35" t="s">
        <v>362</v>
      </c>
      <c r="G253" s="1" t="s">
        <v>363</v>
      </c>
      <c r="H253" s="1" t="s">
        <v>364</v>
      </c>
      <c r="I253" s="1"/>
    </row>
    <row r="254">
      <c r="A254" s="2">
        <f>3/32</f>
        <v>0.09375</v>
      </c>
      <c r="E254" s="18" t="s">
        <v>365</v>
      </c>
      <c r="F254" s="1" t="s">
        <v>366</v>
      </c>
      <c r="G254" s="18" t="s">
        <v>367</v>
      </c>
      <c r="H254" s="18" t="s">
        <v>368</v>
      </c>
      <c r="I254" s="1"/>
    </row>
    <row r="255">
      <c r="A255" s="1">
        <f>7/64</f>
        <v>0.109375</v>
      </c>
      <c r="F255" s="1" t="s">
        <v>369</v>
      </c>
      <c r="G255" s="1" t="s">
        <v>370</v>
      </c>
      <c r="H255" s="1" t="s">
        <v>371</v>
      </c>
      <c r="I255" s="18"/>
    </row>
    <row r="256">
      <c r="A256" s="2">
        <f>1/8</f>
        <v>0.125</v>
      </c>
      <c r="G256" s="1"/>
      <c r="H256" s="1" t="s">
        <v>372</v>
      </c>
      <c r="I256" s="1"/>
    </row>
    <row r="257">
      <c r="A257" s="1">
        <f>9/64</f>
        <v>0.140625</v>
      </c>
    </row>
    <row r="258">
      <c r="A258" s="1">
        <f>5/32</f>
        <v>0.15625</v>
      </c>
    </row>
    <row r="259">
      <c r="A259" s="2">
        <f>11/64</f>
        <v>0.171875</v>
      </c>
    </row>
    <row r="260">
      <c r="A260" s="1">
        <f>3/16</f>
        <v>0.1875</v>
      </c>
    </row>
    <row r="261">
      <c r="A261" s="2">
        <f>13/64</f>
        <v>0.203125</v>
      </c>
    </row>
    <row r="262">
      <c r="A262" s="2">
        <f>7/32</f>
        <v>0.21875</v>
      </c>
    </row>
    <row r="263">
      <c r="A263" s="2">
        <f>15/64</f>
        <v>0.234375</v>
      </c>
    </row>
    <row r="264">
      <c r="A264" s="2">
        <f>1/4</f>
        <v>0.25</v>
      </c>
    </row>
    <row r="265">
      <c r="A265" s="2">
        <f>17/64</f>
        <v>0.265625</v>
      </c>
    </row>
    <row r="266">
      <c r="A266" s="23" t="s">
        <v>373</v>
      </c>
      <c r="B266" s="1">
        <v>1.0</v>
      </c>
      <c r="C266" s="1">
        <v>2.0</v>
      </c>
      <c r="D266" s="1">
        <v>4.0</v>
      </c>
      <c r="E266" s="1">
        <v>8.0</v>
      </c>
      <c r="F266" s="1">
        <v>16.0</v>
      </c>
      <c r="G266" s="1">
        <v>32.0</v>
      </c>
      <c r="H266" s="1">
        <v>64.0</v>
      </c>
    </row>
    <row r="267">
      <c r="A267" s="1">
        <v>0.0</v>
      </c>
      <c r="B267" s="1"/>
      <c r="C267" s="18">
        <v>0.257429999999999</v>
      </c>
      <c r="D267" s="18">
        <v>0.469211000000001</v>
      </c>
      <c r="E267" s="1">
        <v>0.604615999999998</v>
      </c>
      <c r="F267" s="1">
        <v>0.669715999999998</v>
      </c>
      <c r="G267" s="1">
        <v>0.687678999999995</v>
      </c>
      <c r="H267" s="1">
        <v>0.693320999999996</v>
      </c>
    </row>
    <row r="268">
      <c r="A268" s="1">
        <f>1/64</f>
        <v>0.015625</v>
      </c>
      <c r="B268" s="32"/>
      <c r="E268" s="1" t="s">
        <v>374</v>
      </c>
      <c r="F268" s="1" t="s">
        <v>375</v>
      </c>
      <c r="G268" s="1" t="s">
        <v>376</v>
      </c>
      <c r="H268" s="1" t="s">
        <v>377</v>
      </c>
    </row>
    <row r="269">
      <c r="A269" s="1">
        <f>1/32</f>
        <v>0.03125</v>
      </c>
      <c r="E269" s="1" t="s">
        <v>378</v>
      </c>
      <c r="F269" s="1" t="s">
        <v>379</v>
      </c>
      <c r="G269" s="1" t="s">
        <v>380</v>
      </c>
      <c r="H269" s="1" t="s">
        <v>381</v>
      </c>
    </row>
    <row r="270">
      <c r="A270" s="2">
        <f>3/64</f>
        <v>0.046875</v>
      </c>
      <c r="E270" s="1" t="s">
        <v>382</v>
      </c>
      <c r="F270" s="1" t="s">
        <v>383</v>
      </c>
      <c r="G270" s="1" t="s">
        <v>384</v>
      </c>
      <c r="H270" s="1" t="s">
        <v>385</v>
      </c>
    </row>
    <row r="271">
      <c r="A271" s="2">
        <f>1/16</f>
        <v>0.0625</v>
      </c>
      <c r="E271" s="1" t="s">
        <v>386</v>
      </c>
      <c r="F271" s="1" t="s">
        <v>387</v>
      </c>
      <c r="G271" s="1" t="s">
        <v>388</v>
      </c>
      <c r="H271" s="1" t="s">
        <v>389</v>
      </c>
    </row>
    <row r="272">
      <c r="A272" s="2">
        <f>5/64</f>
        <v>0.078125</v>
      </c>
      <c r="E272" s="1" t="s">
        <v>390</v>
      </c>
      <c r="F272" s="1" t="s">
        <v>391</v>
      </c>
      <c r="G272" s="1" t="s">
        <v>392</v>
      </c>
      <c r="H272" s="1" t="s">
        <v>393</v>
      </c>
    </row>
    <row r="273">
      <c r="A273" s="2">
        <f>3/32</f>
        <v>0.09375</v>
      </c>
      <c r="E273" s="1" t="s">
        <v>394</v>
      </c>
      <c r="F273" s="1" t="s">
        <v>395</v>
      </c>
      <c r="G273" s="1" t="s">
        <v>396</v>
      </c>
      <c r="H273" s="1" t="s">
        <v>397</v>
      </c>
    </row>
    <row r="274">
      <c r="A274" s="1">
        <f>7/64</f>
        <v>0.109375</v>
      </c>
      <c r="E274" s="1" t="s">
        <v>398</v>
      </c>
      <c r="F274" s="1" t="s">
        <v>399</v>
      </c>
      <c r="G274" s="1" t="s">
        <v>400</v>
      </c>
      <c r="H274" s="1" t="s">
        <v>401</v>
      </c>
    </row>
    <row r="275">
      <c r="A275" s="2">
        <f>1/8</f>
        <v>0.125</v>
      </c>
      <c r="E275" s="1" t="s">
        <v>402</v>
      </c>
      <c r="F275" s="1" t="s">
        <v>403</v>
      </c>
      <c r="G275" s="1" t="s">
        <v>404</v>
      </c>
      <c r="H275" s="1" t="s">
        <v>405</v>
      </c>
    </row>
    <row r="276">
      <c r="A276" s="1">
        <f>9/64</f>
        <v>0.140625</v>
      </c>
      <c r="E276" s="1" t="s">
        <v>406</v>
      </c>
      <c r="F276" s="1" t="s">
        <v>407</v>
      </c>
      <c r="G276" s="1" t="s">
        <v>408</v>
      </c>
      <c r="H276" s="1" t="s">
        <v>409</v>
      </c>
    </row>
    <row r="277">
      <c r="A277" s="1">
        <f>5/32</f>
        <v>0.15625</v>
      </c>
      <c r="E277" s="18" t="s">
        <v>410</v>
      </c>
      <c r="F277" s="1" t="s">
        <v>411</v>
      </c>
      <c r="G277" s="1" t="s">
        <v>412</v>
      </c>
      <c r="H277" s="1" t="s">
        <v>413</v>
      </c>
    </row>
    <row r="278">
      <c r="A278" s="2">
        <f>11/64</f>
        <v>0.171875</v>
      </c>
      <c r="E278" s="1" t="s">
        <v>414</v>
      </c>
      <c r="F278" s="1" t="s">
        <v>415</v>
      </c>
      <c r="G278" s="1" t="s">
        <v>416</v>
      </c>
      <c r="H278" s="1" t="s">
        <v>417</v>
      </c>
    </row>
    <row r="279">
      <c r="A279" s="1">
        <f>3/16</f>
        <v>0.1875</v>
      </c>
      <c r="F279" s="1" t="s">
        <v>418</v>
      </c>
      <c r="G279" s="1" t="s">
        <v>419</v>
      </c>
      <c r="H279" s="1" t="s">
        <v>420</v>
      </c>
    </row>
    <row r="280">
      <c r="A280" s="2">
        <f>13/64</f>
        <v>0.203125</v>
      </c>
      <c r="F280" s="1" t="s">
        <v>421</v>
      </c>
      <c r="G280" s="1" t="s">
        <v>422</v>
      </c>
      <c r="H280" s="1" t="s">
        <v>423</v>
      </c>
    </row>
    <row r="281">
      <c r="A281" s="2">
        <f>7/32</f>
        <v>0.21875</v>
      </c>
      <c r="F281" s="18" t="s">
        <v>424</v>
      </c>
      <c r="G281" s="1" t="s">
        <v>425</v>
      </c>
      <c r="H281" s="1" t="s">
        <v>426</v>
      </c>
    </row>
    <row r="282">
      <c r="A282" s="2">
        <f>15/64</f>
        <v>0.234375</v>
      </c>
      <c r="F282" s="1" t="s">
        <v>427</v>
      </c>
      <c r="G282" s="1" t="s">
        <v>428</v>
      </c>
      <c r="H282" s="1" t="s">
        <v>429</v>
      </c>
    </row>
    <row r="283">
      <c r="A283" s="13">
        <f>1/4</f>
        <v>0.25</v>
      </c>
      <c r="B283" s="14"/>
      <c r="C283" s="14"/>
      <c r="D283" s="14"/>
      <c r="E283" s="14"/>
      <c r="F283" s="14"/>
      <c r="G283" s="34" t="s">
        <v>430</v>
      </c>
      <c r="H283" s="34" t="s">
        <v>431</v>
      </c>
    </row>
    <row r="284">
      <c r="A284" s="2">
        <f>17/64</f>
        <v>0.265625</v>
      </c>
      <c r="G284" s="1" t="s">
        <v>432</v>
      </c>
      <c r="H284" s="1" t="s">
        <v>433</v>
      </c>
    </row>
    <row r="287">
      <c r="E287" s="36" t="s">
        <v>434</v>
      </c>
    </row>
    <row r="288">
      <c r="E288" s="36" t="s">
        <v>435</v>
      </c>
    </row>
    <row r="289">
      <c r="E289" s="36" t="s">
        <v>436</v>
      </c>
    </row>
    <row r="290">
      <c r="E290" s="36" t="s">
        <v>437</v>
      </c>
    </row>
    <row r="291">
      <c r="E291" s="36" t="s">
        <v>438</v>
      </c>
    </row>
    <row r="292">
      <c r="E292" s="36" t="s">
        <v>439</v>
      </c>
    </row>
    <row r="293">
      <c r="E293" s="36" t="s">
        <v>440</v>
      </c>
    </row>
    <row r="294">
      <c r="E294" s="36" t="s">
        <v>441</v>
      </c>
    </row>
    <row r="295">
      <c r="H295" s="1"/>
    </row>
    <row r="296">
      <c r="E296" s="1">
        <v>0.0</v>
      </c>
      <c r="F296" s="1">
        <v>1.0</v>
      </c>
      <c r="G296" s="1" t="s">
        <v>442</v>
      </c>
      <c r="H296" s="1"/>
      <c r="I296" s="37">
        <f>0</f>
        <v>0</v>
      </c>
    </row>
    <row r="297">
      <c r="D297" s="17">
        <v>0.0</v>
      </c>
      <c r="E297" s="1">
        <v>0.0</v>
      </c>
      <c r="F297" s="1">
        <v>1.0</v>
      </c>
      <c r="G297" s="1">
        <v>0.0</v>
      </c>
      <c r="H297" s="1"/>
      <c r="I297" s="17">
        <f>1/32</f>
        <v>0.03125</v>
      </c>
    </row>
    <row r="298">
      <c r="D298" s="17">
        <v>1.0</v>
      </c>
      <c r="E298" s="1">
        <v>1.0</v>
      </c>
      <c r="F298" s="1">
        <v>0.0</v>
      </c>
      <c r="G298" s="1">
        <v>0.0</v>
      </c>
      <c r="H298" s="1"/>
      <c r="I298" s="17">
        <f>2/32</f>
        <v>0.0625</v>
      </c>
    </row>
    <row r="299">
      <c r="D299" s="38" t="s">
        <v>442</v>
      </c>
      <c r="E299" s="1">
        <v>0.0</v>
      </c>
      <c r="F299" s="1">
        <v>0.0</v>
      </c>
      <c r="G299" s="1">
        <v>0.0</v>
      </c>
      <c r="H299" s="1"/>
      <c r="I299" s="17">
        <f>3/32</f>
        <v>0.09375</v>
      </c>
    </row>
    <row r="300">
      <c r="H300" s="1"/>
      <c r="I300" s="17">
        <f>4/32</f>
        <v>0.125</v>
      </c>
    </row>
    <row r="301">
      <c r="E301" s="1">
        <v>0.0</v>
      </c>
      <c r="F301" s="1">
        <v>1.0</v>
      </c>
      <c r="G301" s="1" t="s">
        <v>442</v>
      </c>
      <c r="H301" s="1"/>
      <c r="I301" s="17">
        <f>5/32</f>
        <v>0.15625</v>
      </c>
    </row>
    <row r="302">
      <c r="D302" s="17">
        <v>0.0</v>
      </c>
      <c r="E302" s="1">
        <v>-1.0</v>
      </c>
      <c r="F302" s="1">
        <v>0.0</v>
      </c>
      <c r="G302" s="1">
        <v>0.0</v>
      </c>
      <c r="H302" s="1"/>
      <c r="I302" s="17">
        <f>6/32</f>
        <v>0.1875</v>
      </c>
    </row>
    <row r="303">
      <c r="D303" s="17">
        <v>1.0</v>
      </c>
      <c r="E303" s="1">
        <v>0.0</v>
      </c>
      <c r="F303" s="1">
        <v>-1.0</v>
      </c>
      <c r="G303" s="1">
        <v>0.0</v>
      </c>
      <c r="H303" s="33"/>
      <c r="I303" s="17">
        <f>7/32</f>
        <v>0.21875</v>
      </c>
    </row>
    <row r="304">
      <c r="D304" s="38" t="s">
        <v>442</v>
      </c>
      <c r="E304" s="1">
        <v>0.0</v>
      </c>
      <c r="F304" s="1">
        <v>0.0</v>
      </c>
      <c r="G304" s="1">
        <v>0.0</v>
      </c>
      <c r="H304" s="1"/>
      <c r="I304" s="17">
        <f>8/32</f>
        <v>0.25</v>
      </c>
    </row>
    <row r="305">
      <c r="H305" s="1"/>
      <c r="I305" s="17">
        <f>9/32</f>
        <v>0.28125</v>
      </c>
    </row>
    <row r="306">
      <c r="E306" s="1">
        <v>0.0</v>
      </c>
      <c r="F306" s="1">
        <v>1.0</v>
      </c>
      <c r="G306" s="1" t="s">
        <v>442</v>
      </c>
      <c r="H306" s="1"/>
      <c r="I306" s="17">
        <f>10/32</f>
        <v>0.3125</v>
      </c>
    </row>
    <row r="307">
      <c r="D307" s="17">
        <v>0.0</v>
      </c>
      <c r="E307" s="1">
        <v>-1.0</v>
      </c>
      <c r="F307" s="1">
        <v>1.0</v>
      </c>
      <c r="G307" s="1">
        <v>0.0</v>
      </c>
      <c r="H307" s="1"/>
      <c r="I307" s="17">
        <f>11/32</f>
        <v>0.34375</v>
      </c>
    </row>
    <row r="308">
      <c r="D308" s="17">
        <v>1.0</v>
      </c>
      <c r="E308" s="1">
        <v>1.0</v>
      </c>
      <c r="F308" s="1">
        <v>-1.0</v>
      </c>
      <c r="G308" s="1">
        <v>0.0</v>
      </c>
      <c r="H308" s="1"/>
      <c r="I308" s="17">
        <f>12/32</f>
        <v>0.375</v>
      </c>
    </row>
    <row r="309">
      <c r="D309" s="38" t="s">
        <v>442</v>
      </c>
      <c r="E309" s="1">
        <v>0.0</v>
      </c>
      <c r="F309" s="1">
        <v>0.0</v>
      </c>
      <c r="G309" s="1">
        <v>0.0</v>
      </c>
      <c r="H309" s="1"/>
      <c r="I309" s="17">
        <f>13/32</f>
        <v>0.40625</v>
      </c>
    </row>
    <row r="310">
      <c r="H310" s="1"/>
      <c r="I310" s="17">
        <f>14/32</f>
        <v>0.4375</v>
      </c>
    </row>
    <row r="311">
      <c r="E311" s="1">
        <v>0.0</v>
      </c>
      <c r="F311" s="1">
        <v>1.0</v>
      </c>
      <c r="G311" s="1" t="s">
        <v>442</v>
      </c>
      <c r="H311" s="18"/>
      <c r="I311" s="17">
        <f>15/32</f>
        <v>0.46875</v>
      </c>
    </row>
    <row r="312">
      <c r="D312" s="17">
        <v>0.0</v>
      </c>
      <c r="E312" s="1">
        <v>0.0</v>
      </c>
      <c r="F312" s="1">
        <v>2.0</v>
      </c>
      <c r="G312" s="1">
        <v>1.0</v>
      </c>
      <c r="H312" s="1"/>
      <c r="I312" s="17">
        <f>16/32</f>
        <v>0.5</v>
      </c>
    </row>
    <row r="313">
      <c r="D313" s="17">
        <v>1.0</v>
      </c>
      <c r="E313" s="1">
        <v>2.0</v>
      </c>
      <c r="F313" s="1">
        <v>0.0</v>
      </c>
      <c r="G313" s="1">
        <v>1.0</v>
      </c>
      <c r="H313" s="1"/>
      <c r="I313" s="17">
        <f>17/32</f>
        <v>0.53125</v>
      </c>
    </row>
    <row r="314">
      <c r="D314" s="38" t="s">
        <v>442</v>
      </c>
      <c r="E314" s="1">
        <v>1.0</v>
      </c>
      <c r="F314" s="1">
        <v>1.0</v>
      </c>
      <c r="G314" s="1">
        <v>1.0</v>
      </c>
    </row>
    <row r="316">
      <c r="D316" s="2"/>
      <c r="E316" s="36" t="s">
        <v>443</v>
      </c>
      <c r="F316" s="36" t="s">
        <v>444</v>
      </c>
      <c r="G316" s="36" t="s">
        <v>445</v>
      </c>
    </row>
    <row r="317">
      <c r="D317" s="1" t="s">
        <v>443</v>
      </c>
      <c r="E317" s="1">
        <v>0.0</v>
      </c>
      <c r="F317" s="1">
        <v>2.0</v>
      </c>
      <c r="G317" s="1">
        <v>1.0</v>
      </c>
    </row>
    <row r="318">
      <c r="D318" s="1" t="s">
        <v>444</v>
      </c>
      <c r="E318" s="1">
        <v>2.0</v>
      </c>
      <c r="F318" s="1">
        <v>0.0</v>
      </c>
      <c r="G318" s="1">
        <v>1.0</v>
      </c>
    </row>
    <row r="319">
      <c r="D319" s="36" t="s">
        <v>445</v>
      </c>
      <c r="E319" s="1">
        <v>1.0</v>
      </c>
      <c r="F319" s="1">
        <v>1.0</v>
      </c>
      <c r="G319" s="1">
        <v>2.0</v>
      </c>
    </row>
    <row r="321">
      <c r="D321" s="2"/>
      <c r="E321" s="36" t="s">
        <v>446</v>
      </c>
      <c r="F321" s="36" t="s">
        <v>447</v>
      </c>
      <c r="G321" s="36" t="s">
        <v>448</v>
      </c>
    </row>
    <row r="322">
      <c r="D322" s="1" t="s">
        <v>449</v>
      </c>
      <c r="E322" s="1">
        <v>0.0</v>
      </c>
      <c r="F322" s="1">
        <v>2.0</v>
      </c>
      <c r="G322" s="1">
        <v>1.0</v>
      </c>
    </row>
    <row r="323">
      <c r="D323" s="1" t="s">
        <v>450</v>
      </c>
      <c r="E323" s="1">
        <v>2.0</v>
      </c>
      <c r="F323" s="1">
        <v>0.0</v>
      </c>
      <c r="G323" s="1">
        <v>1.0</v>
      </c>
    </row>
    <row r="324">
      <c r="D324" s="36" t="s">
        <v>451</v>
      </c>
      <c r="E324" s="1">
        <v>1.0</v>
      </c>
      <c r="F324" s="1">
        <v>1.0</v>
      </c>
      <c r="G324" s="1">
        <v>1.0</v>
      </c>
    </row>
    <row r="326">
      <c r="D326" s="2"/>
      <c r="E326" s="36" t="s">
        <v>443</v>
      </c>
      <c r="F326" s="36" t="s">
        <v>444</v>
      </c>
      <c r="G326" s="36" t="s">
        <v>445</v>
      </c>
    </row>
    <row r="327">
      <c r="D327" s="1" t="s">
        <v>443</v>
      </c>
      <c r="E327" s="1">
        <v>0.0</v>
      </c>
      <c r="F327" s="1">
        <v>2.0</v>
      </c>
      <c r="G327" s="1">
        <v>1.0</v>
      </c>
    </row>
    <row r="328">
      <c r="D328" s="1" t="s">
        <v>444</v>
      </c>
      <c r="E328" s="1">
        <v>2.0</v>
      </c>
      <c r="F328" s="1">
        <v>0.0</v>
      </c>
      <c r="G328" s="1">
        <v>1.0</v>
      </c>
    </row>
    <row r="329">
      <c r="D329" s="36" t="s">
        <v>445</v>
      </c>
      <c r="E329" s="1">
        <v>1.0</v>
      </c>
      <c r="F329" s="1">
        <v>1.0</v>
      </c>
      <c r="G329" s="1">
        <v>2.0</v>
      </c>
    </row>
    <row r="331">
      <c r="E331" s="1">
        <v>0.0</v>
      </c>
      <c r="F331" s="1">
        <v>1.0</v>
      </c>
      <c r="G331" s="1" t="s">
        <v>442</v>
      </c>
    </row>
    <row r="332">
      <c r="D332" s="17">
        <v>0.0</v>
      </c>
      <c r="E332" s="1">
        <v>-2.0</v>
      </c>
      <c r="F332" s="1">
        <v>0.0</v>
      </c>
      <c r="G332" s="1">
        <v>-1.0</v>
      </c>
    </row>
    <row r="333">
      <c r="D333" s="17">
        <v>1.0</v>
      </c>
      <c r="E333" s="1">
        <v>0.0</v>
      </c>
      <c r="F333" s="1">
        <v>-2.0</v>
      </c>
      <c r="G333" s="1">
        <v>-1.0</v>
      </c>
    </row>
    <row r="334">
      <c r="D334" s="38" t="s">
        <v>442</v>
      </c>
      <c r="E334" s="1">
        <v>-1.0</v>
      </c>
      <c r="F334" s="1">
        <v>-1.0</v>
      </c>
      <c r="G334" s="1">
        <v>-1.0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4.13"/>
    <col customWidth="1" min="3" max="3" width="25.88"/>
    <col customWidth="1" min="4" max="4" width="24.88"/>
    <col customWidth="1" min="5" max="5" width="35.13"/>
    <col customWidth="1" min="6" max="6" width="28.63"/>
    <col customWidth="1" min="7" max="7" width="63.25"/>
    <col customWidth="1" min="8" max="8" width="67.0"/>
    <col customWidth="1" min="9" max="9" width="24.88"/>
    <col customWidth="1" min="10" max="10" width="25.13"/>
    <col customWidth="1" min="11" max="11" width="17.5"/>
    <col customWidth="1" min="16" max="16" width="21.75"/>
  </cols>
  <sheetData>
    <row r="1">
      <c r="A1" s="1" t="s">
        <v>85</v>
      </c>
    </row>
    <row r="2">
      <c r="A2" s="3" t="s">
        <v>6</v>
      </c>
      <c r="B2" s="1" t="s">
        <v>93</v>
      </c>
      <c r="C2" s="1" t="s">
        <v>8</v>
      </c>
      <c r="D2" s="1" t="s">
        <v>9</v>
      </c>
      <c r="E2" s="1" t="s">
        <v>10</v>
      </c>
    </row>
    <row r="3">
      <c r="A3" s="4" t="s">
        <v>11</v>
      </c>
      <c r="B3" s="1">
        <v>1.0</v>
      </c>
      <c r="C3" s="1">
        <v>81.734</v>
      </c>
      <c r="D3" s="1">
        <v>81.734</v>
      </c>
      <c r="E3" s="1">
        <v>9.397</v>
      </c>
      <c r="F3" s="5" t="s">
        <v>12</v>
      </c>
      <c r="K3" s="21" t="s">
        <v>104</v>
      </c>
      <c r="P3" s="25"/>
      <c r="Q3" s="1"/>
      <c r="R3" s="1"/>
      <c r="S3" s="1"/>
      <c r="T3" s="1"/>
      <c r="U3" s="1"/>
      <c r="V3" s="1">
        <v>0.911645999999965</v>
      </c>
    </row>
    <row r="4">
      <c r="A4" s="5" t="s">
        <v>16</v>
      </c>
      <c r="B4" s="1"/>
      <c r="C4" s="1" t="s">
        <v>8</v>
      </c>
      <c r="D4" s="1" t="s">
        <v>14</v>
      </c>
      <c r="E4" s="1" t="s">
        <v>15</v>
      </c>
      <c r="F4" s="5" t="s">
        <v>16</v>
      </c>
      <c r="H4" s="1" t="s">
        <v>8</v>
      </c>
      <c r="I4" s="1" t="s">
        <v>14</v>
      </c>
      <c r="J4" s="1" t="s">
        <v>15</v>
      </c>
      <c r="K4" s="21" t="s">
        <v>105</v>
      </c>
      <c r="M4" s="1" t="s">
        <v>8</v>
      </c>
      <c r="N4" s="1" t="s">
        <v>14</v>
      </c>
      <c r="O4" s="1" t="s">
        <v>15</v>
      </c>
      <c r="P4" s="6" t="s">
        <v>13</v>
      </c>
      <c r="Q4" s="1"/>
      <c r="R4" s="1" t="s">
        <v>8</v>
      </c>
      <c r="S4" s="1" t="s">
        <v>14</v>
      </c>
      <c r="T4" s="1" t="s">
        <v>15</v>
      </c>
      <c r="U4" s="1" t="s">
        <v>106</v>
      </c>
      <c r="V4" s="1" t="s">
        <v>107</v>
      </c>
      <c r="W4" s="2"/>
    </row>
    <row r="5">
      <c r="A5" s="8" t="s">
        <v>18</v>
      </c>
      <c r="B5" s="4">
        <v>0.999993999999999</v>
      </c>
      <c r="C5" s="4">
        <v>78.7721</v>
      </c>
      <c r="D5" s="4">
        <v>-2.9619</v>
      </c>
      <c r="E5" s="4">
        <v>1.4796</v>
      </c>
      <c r="F5" s="8" t="s">
        <v>19</v>
      </c>
      <c r="G5" s="1">
        <v>1.0</v>
      </c>
      <c r="H5" s="1">
        <v>81.734</v>
      </c>
      <c r="I5" s="1">
        <v>0.0</v>
      </c>
      <c r="J5" s="1">
        <v>0.0</v>
      </c>
      <c r="K5" s="22" t="s">
        <v>19</v>
      </c>
      <c r="L5" s="1">
        <v>0.984879999999949</v>
      </c>
      <c r="M5" s="1">
        <v>82.1605</v>
      </c>
      <c r="N5" s="1">
        <v>0.4265</v>
      </c>
      <c r="O5" s="1">
        <v>2.2811</v>
      </c>
      <c r="P5" s="7">
        <v>50.0</v>
      </c>
      <c r="Q5" s="1">
        <v>0.238015999999999</v>
      </c>
      <c r="R5" s="1">
        <v>83.0242</v>
      </c>
      <c r="S5" s="1">
        <v>1.2902</v>
      </c>
      <c r="T5" s="1">
        <v>12.4956</v>
      </c>
      <c r="U5" s="1">
        <f t="shared" ref="U5:U44" si="1">SQRT(1/(4*P5))*180</f>
        <v>12.72792206</v>
      </c>
      <c r="V5" s="1">
        <v>0.595524</v>
      </c>
      <c r="W5" s="1">
        <v>0.637796999999994</v>
      </c>
    </row>
    <row r="6">
      <c r="A6" s="8" t="s">
        <v>21</v>
      </c>
      <c r="B6" s="4">
        <v>0.999985999999999</v>
      </c>
      <c r="C6" s="4">
        <v>78.2836</v>
      </c>
      <c r="D6" s="4">
        <v>-3.4505</v>
      </c>
      <c r="E6" s="4">
        <v>1.5984</v>
      </c>
      <c r="F6" s="8" t="s">
        <v>22</v>
      </c>
      <c r="G6" s="1">
        <v>1.0</v>
      </c>
      <c r="H6" s="1">
        <v>81.734</v>
      </c>
      <c r="I6" s="1">
        <v>0.0</v>
      </c>
      <c r="J6" s="1">
        <v>0.0</v>
      </c>
      <c r="K6" s="22" t="s">
        <v>22</v>
      </c>
      <c r="L6" s="1">
        <v>0.978189999999947</v>
      </c>
      <c r="M6" s="1">
        <v>82.2321</v>
      </c>
      <c r="N6" s="1">
        <v>0.498</v>
      </c>
      <c r="O6" s="1">
        <v>2.4894</v>
      </c>
      <c r="P6" s="7">
        <v>100.0</v>
      </c>
      <c r="Q6" s="1">
        <v>0.451817999999997</v>
      </c>
      <c r="R6" s="1">
        <v>83.099</v>
      </c>
      <c r="S6" s="1">
        <v>1.365</v>
      </c>
      <c r="T6" s="1">
        <v>8.8346</v>
      </c>
      <c r="U6" s="1">
        <f t="shared" si="1"/>
        <v>9</v>
      </c>
      <c r="V6" s="1">
        <v>0.760570999999988</v>
      </c>
      <c r="W6" s="1">
        <v>0.849911999999977</v>
      </c>
    </row>
    <row r="7">
      <c r="A7" s="8" t="s">
        <v>24</v>
      </c>
      <c r="B7" s="4">
        <v>0.999963999999999</v>
      </c>
      <c r="C7" s="4">
        <v>77.6404</v>
      </c>
      <c r="D7" s="4">
        <v>-4.0936</v>
      </c>
      <c r="E7" s="4">
        <v>1.7416</v>
      </c>
      <c r="F7" s="8" t="s">
        <v>25</v>
      </c>
      <c r="G7" s="1">
        <v>1.0</v>
      </c>
      <c r="H7" s="1">
        <v>81.734</v>
      </c>
      <c r="I7" s="1">
        <v>0.0</v>
      </c>
      <c r="J7" s="1">
        <v>0.0</v>
      </c>
      <c r="K7" s="22" t="s">
        <v>25</v>
      </c>
      <c r="L7" s="1">
        <v>0.967451999999946</v>
      </c>
      <c r="M7" s="1">
        <v>82.3345</v>
      </c>
      <c r="N7" s="1">
        <v>0.6005</v>
      </c>
      <c r="O7" s="1">
        <v>2.745</v>
      </c>
      <c r="P7" s="7">
        <v>150.0</v>
      </c>
      <c r="Q7" s="1">
        <v>0.599398999999999</v>
      </c>
      <c r="R7" s="1">
        <v>82.433</v>
      </c>
      <c r="S7" s="1">
        <v>0.6989</v>
      </c>
      <c r="T7" s="1">
        <v>7.1017</v>
      </c>
      <c r="U7" s="1">
        <f t="shared" si="1"/>
        <v>7.348469228</v>
      </c>
      <c r="V7" s="1">
        <v>0.803005999999983</v>
      </c>
      <c r="W7" s="1">
        <v>0.928071999999969</v>
      </c>
    </row>
    <row r="8">
      <c r="A8" s="8" t="s">
        <v>27</v>
      </c>
      <c r="B8" s="4">
        <v>0.999840999999998</v>
      </c>
      <c r="C8" s="4">
        <v>76.7538</v>
      </c>
      <c r="D8" s="4">
        <v>-4.9803</v>
      </c>
      <c r="E8" s="4">
        <v>1.9171</v>
      </c>
      <c r="F8" s="8" t="s">
        <v>28</v>
      </c>
      <c r="G8" s="1">
        <v>1.0</v>
      </c>
      <c r="H8" s="1">
        <v>81.734</v>
      </c>
      <c r="I8" s="1">
        <v>0.0</v>
      </c>
      <c r="J8" s="1">
        <v>0.0</v>
      </c>
      <c r="K8" s="22" t="s">
        <v>28</v>
      </c>
      <c r="L8" s="1">
        <v>0.949159999999946</v>
      </c>
      <c r="M8" s="1">
        <v>82.509</v>
      </c>
      <c r="N8" s="1">
        <v>0.7749</v>
      </c>
      <c r="O8" s="1">
        <v>3.0778</v>
      </c>
      <c r="P8" s="7">
        <v>200.0</v>
      </c>
      <c r="Q8" s="1">
        <v>0.689295999999995</v>
      </c>
      <c r="R8" s="1">
        <v>82.146</v>
      </c>
      <c r="S8" s="1">
        <v>0.412</v>
      </c>
      <c r="T8" s="1">
        <v>6.207</v>
      </c>
      <c r="U8" s="1">
        <f t="shared" si="1"/>
        <v>6.363961031</v>
      </c>
      <c r="V8" s="1">
        <v>0.840787999999983</v>
      </c>
      <c r="W8" s="1">
        <v>0.960075999999957</v>
      </c>
    </row>
    <row r="9">
      <c r="A9" s="8" t="s">
        <v>30</v>
      </c>
      <c r="B9" s="4">
        <v>0.999255999999993</v>
      </c>
      <c r="C9" s="4">
        <v>75.4571</v>
      </c>
      <c r="D9" s="4">
        <v>-6.2769</v>
      </c>
      <c r="E9" s="4">
        <v>2.1453</v>
      </c>
      <c r="F9" s="8" t="s">
        <v>31</v>
      </c>
      <c r="G9" s="1">
        <v>1.0</v>
      </c>
      <c r="H9" s="1">
        <v>81.734</v>
      </c>
      <c r="I9" s="1">
        <v>0.0</v>
      </c>
      <c r="J9" s="1">
        <v>0.0</v>
      </c>
      <c r="K9" s="22" t="s">
        <v>31</v>
      </c>
      <c r="L9" s="1">
        <v>0.915341999999959</v>
      </c>
      <c r="M9" s="1">
        <v>82.729</v>
      </c>
      <c r="N9" s="1">
        <v>0.995</v>
      </c>
      <c r="O9" s="1">
        <v>3.5191</v>
      </c>
      <c r="P9" s="7">
        <v>250.0</v>
      </c>
      <c r="Q9" s="1">
        <v>0.761984999999991</v>
      </c>
      <c r="R9" s="1">
        <v>82.6747</v>
      </c>
      <c r="S9" s="1">
        <v>0.9407</v>
      </c>
      <c r="T9" s="1">
        <v>5.5156</v>
      </c>
      <c r="U9" s="1">
        <f t="shared" si="1"/>
        <v>5.692099788</v>
      </c>
      <c r="V9" s="1">
        <v>0.859347999999979</v>
      </c>
      <c r="W9" s="1">
        <v>0.978611999999949</v>
      </c>
    </row>
    <row r="10">
      <c r="A10" s="8" t="s">
        <v>33</v>
      </c>
      <c r="B10" s="4">
        <v>0.995583999999971</v>
      </c>
      <c r="C10" s="4">
        <v>73.3762</v>
      </c>
      <c r="D10" s="4">
        <v>-8.3578</v>
      </c>
      <c r="E10" s="4">
        <v>2.4589</v>
      </c>
      <c r="F10" s="8" t="s">
        <v>34</v>
      </c>
      <c r="G10" s="1">
        <v>1.0</v>
      </c>
      <c r="H10" s="1">
        <v>81.734</v>
      </c>
      <c r="I10" s="1">
        <v>0.0</v>
      </c>
      <c r="J10" s="1">
        <v>0.0</v>
      </c>
      <c r="K10" s="22" t="s">
        <v>34</v>
      </c>
      <c r="L10" s="1">
        <v>0.849939999999983</v>
      </c>
      <c r="M10" s="1">
        <v>83.0904</v>
      </c>
      <c r="N10" s="1">
        <v>1.3563</v>
      </c>
      <c r="O10" s="1">
        <v>4.1484</v>
      </c>
      <c r="P10" s="7">
        <v>300.0</v>
      </c>
      <c r="Q10" s="1">
        <v>0.794501999999987</v>
      </c>
      <c r="R10" s="1">
        <v>80.4277</v>
      </c>
      <c r="S10" s="1">
        <v>-1.3063</v>
      </c>
      <c r="T10" s="1">
        <v>5.2422</v>
      </c>
      <c r="U10" s="1">
        <f t="shared" si="1"/>
        <v>5.196152423</v>
      </c>
      <c r="V10" s="1">
        <v>0.868835999999974</v>
      </c>
      <c r="W10" s="1">
        <v>0.986966999999948</v>
      </c>
    </row>
    <row r="11">
      <c r="A11" s="8" t="s">
        <v>36</v>
      </c>
      <c r="B11" s="4">
        <v>0.973584999999954</v>
      </c>
      <c r="C11" s="4">
        <v>69.5832</v>
      </c>
      <c r="D11" s="4">
        <v>-12.1508</v>
      </c>
      <c r="E11" s="4">
        <v>2.9304</v>
      </c>
      <c r="F11" s="8" t="s">
        <v>37</v>
      </c>
      <c r="G11" s="1">
        <v>1.0</v>
      </c>
      <c r="H11" s="1">
        <v>81.734</v>
      </c>
      <c r="I11" s="1">
        <v>0.0</v>
      </c>
      <c r="J11" s="1">
        <v>0.0</v>
      </c>
      <c r="K11" s="22" t="s">
        <v>37</v>
      </c>
      <c r="L11" s="1">
        <v>0.706412999999994</v>
      </c>
      <c r="M11" s="1">
        <v>83.7305</v>
      </c>
      <c r="N11" s="1">
        <v>1.9964</v>
      </c>
      <c r="O11" s="1">
        <v>5.1625</v>
      </c>
      <c r="P11" s="7">
        <v>350.0</v>
      </c>
      <c r="Q11" s="1">
        <v>0.844496999999982</v>
      </c>
      <c r="R11" s="1">
        <v>81.658</v>
      </c>
      <c r="S11" s="1">
        <v>-0.076</v>
      </c>
      <c r="T11" s="1">
        <v>4.72</v>
      </c>
      <c r="U11" s="1">
        <f t="shared" si="1"/>
        <v>4.810702354</v>
      </c>
      <c r="V11" s="1">
        <v>0.874822999999973</v>
      </c>
      <c r="W11" s="1">
        <v>0.994247999999956</v>
      </c>
    </row>
    <row r="12">
      <c r="A12" s="8" t="s">
        <v>108</v>
      </c>
      <c r="B12" s="4">
        <v>0.808334999999987</v>
      </c>
      <c r="C12" s="4">
        <v>60.2535</v>
      </c>
      <c r="D12" s="4">
        <v>-21.4806</v>
      </c>
      <c r="E12" s="4">
        <v>4.0514</v>
      </c>
      <c r="F12" s="8" t="s">
        <v>109</v>
      </c>
      <c r="G12" s="1">
        <v>1.0</v>
      </c>
      <c r="H12" s="1">
        <v>81.734</v>
      </c>
      <c r="I12" s="1">
        <v>0.0</v>
      </c>
      <c r="J12" s="1">
        <v>0.0</v>
      </c>
      <c r="K12" s="22" t="s">
        <v>109</v>
      </c>
      <c r="L12" s="1">
        <v>0.336697</v>
      </c>
      <c r="M12" s="1">
        <v>85.0548</v>
      </c>
      <c r="N12" s="1">
        <v>3.3208</v>
      </c>
      <c r="O12" s="1">
        <v>7.4348</v>
      </c>
      <c r="P12" s="7">
        <v>400.0</v>
      </c>
      <c r="Q12" s="1">
        <v>0.871427999999977</v>
      </c>
      <c r="R12" s="1">
        <v>81.9458</v>
      </c>
      <c r="S12" s="1">
        <v>0.2118</v>
      </c>
      <c r="T12" s="1">
        <v>4.464</v>
      </c>
      <c r="U12" s="1">
        <f t="shared" si="1"/>
        <v>4.5</v>
      </c>
      <c r="V12" s="1">
        <v>0.881541999999973</v>
      </c>
      <c r="W12" s="1">
        <v>0.994256999999958</v>
      </c>
    </row>
    <row r="13">
      <c r="A13" s="8" t="s">
        <v>39</v>
      </c>
      <c r="B13" s="4">
        <v>0.999913999999998</v>
      </c>
      <c r="C13" s="4">
        <v>84.6718</v>
      </c>
      <c r="D13" s="4">
        <v>2.9378</v>
      </c>
      <c r="E13" s="4">
        <v>1.4668</v>
      </c>
      <c r="F13" s="10" t="s">
        <v>40</v>
      </c>
      <c r="G13" s="4"/>
      <c r="H13" s="11"/>
      <c r="I13" s="11"/>
      <c r="J13" s="11"/>
      <c r="K13" s="21" t="s">
        <v>110</v>
      </c>
      <c r="M13" s="1" t="s">
        <v>8</v>
      </c>
      <c r="N13" s="1" t="s">
        <v>14</v>
      </c>
      <c r="O13" s="1" t="s">
        <v>15</v>
      </c>
      <c r="P13" s="7">
        <v>450.0</v>
      </c>
      <c r="Q13" s="1">
        <v>0.893143999999975</v>
      </c>
      <c r="R13" s="1">
        <v>81.6931</v>
      </c>
      <c r="S13" s="1">
        <v>-0.041</v>
      </c>
      <c r="T13" s="1">
        <v>4.1694</v>
      </c>
      <c r="U13" s="1">
        <f t="shared" si="1"/>
        <v>4.242640687</v>
      </c>
      <c r="V13" s="1">
        <v>0.885333999999972</v>
      </c>
      <c r="W13" s="1">
        <v>0.996769999999967</v>
      </c>
    </row>
    <row r="14">
      <c r="A14" s="8" t="s">
        <v>42</v>
      </c>
      <c r="B14" s="4">
        <v>0.999878999999998</v>
      </c>
      <c r="C14" s="4">
        <v>85.1523</v>
      </c>
      <c r="D14" s="4">
        <v>3.4182</v>
      </c>
      <c r="E14" s="4">
        <v>1.5822</v>
      </c>
      <c r="F14" s="12" t="s">
        <v>19</v>
      </c>
      <c r="G14" s="1">
        <v>0.996332999999976</v>
      </c>
      <c r="H14" s="1">
        <v>81.2416</v>
      </c>
      <c r="I14" s="1">
        <v>-0.4924</v>
      </c>
      <c r="J14" s="1">
        <v>2.5147</v>
      </c>
      <c r="K14" s="22" t="s">
        <v>19</v>
      </c>
      <c r="L14" s="1">
        <v>0.993102999999965</v>
      </c>
      <c r="M14" s="1">
        <v>81.7384</v>
      </c>
      <c r="N14" s="1">
        <v>0.0044</v>
      </c>
      <c r="O14" s="1">
        <v>2.2999</v>
      </c>
      <c r="P14" s="7">
        <v>500.0</v>
      </c>
      <c r="Q14" s="1">
        <v>0.911466999999969</v>
      </c>
      <c r="R14" s="1">
        <v>81.2301</v>
      </c>
      <c r="S14" s="1">
        <v>-0.504</v>
      </c>
      <c r="T14" s="1">
        <v>3.9639</v>
      </c>
      <c r="U14" s="1">
        <f t="shared" si="1"/>
        <v>4.024922359</v>
      </c>
      <c r="V14" s="1">
        <v>0.887992999999967</v>
      </c>
      <c r="W14" s="1">
        <v>0.998072999999977</v>
      </c>
    </row>
    <row r="15">
      <c r="A15" s="8" t="s">
        <v>44</v>
      </c>
      <c r="B15" s="4">
        <v>0.999809999999997</v>
      </c>
      <c r="C15" s="4">
        <v>85.783</v>
      </c>
      <c r="D15" s="4">
        <v>4.049</v>
      </c>
      <c r="E15" s="4">
        <v>1.7204</v>
      </c>
      <c r="F15" s="12" t="s">
        <v>22</v>
      </c>
      <c r="G15" s="1">
        <v>0.992941999999964</v>
      </c>
      <c r="H15" s="1">
        <v>81.1488</v>
      </c>
      <c r="I15" s="1">
        <v>-0.5852</v>
      </c>
      <c r="J15" s="1">
        <v>2.8108</v>
      </c>
      <c r="K15" s="22" t="s">
        <v>22</v>
      </c>
      <c r="L15" s="1">
        <v>0.988931999999959</v>
      </c>
      <c r="M15" s="1">
        <v>81.7422</v>
      </c>
      <c r="N15" s="1">
        <v>0.0081</v>
      </c>
      <c r="O15" s="1">
        <v>2.5254</v>
      </c>
      <c r="P15" s="7">
        <v>550.0</v>
      </c>
      <c r="Q15" s="1">
        <v>0.928435999999965</v>
      </c>
      <c r="R15" s="1">
        <v>82.0201</v>
      </c>
      <c r="S15" s="1">
        <v>0.2861</v>
      </c>
      <c r="T15" s="1">
        <v>3.8359</v>
      </c>
      <c r="U15" s="1">
        <f t="shared" si="1"/>
        <v>3.837612894</v>
      </c>
      <c r="V15" s="1">
        <v>0.88852499999997</v>
      </c>
      <c r="W15" s="1">
        <v>0.998771999999982</v>
      </c>
    </row>
    <row r="16">
      <c r="A16" s="8" t="s">
        <v>45</v>
      </c>
      <c r="B16" s="4">
        <v>0.999709999999995</v>
      </c>
      <c r="C16" s="4">
        <v>86.6493</v>
      </c>
      <c r="D16" s="4">
        <v>4.9153</v>
      </c>
      <c r="E16" s="4">
        <v>1.8887</v>
      </c>
      <c r="F16" s="12" t="s">
        <v>25</v>
      </c>
      <c r="G16" s="1">
        <v>0.985796999999956</v>
      </c>
      <c r="H16" s="1">
        <v>81.0274</v>
      </c>
      <c r="I16" s="1">
        <v>-0.7066</v>
      </c>
      <c r="J16" s="1">
        <v>3.2024</v>
      </c>
      <c r="K16" s="22" t="s">
        <v>25</v>
      </c>
      <c r="L16" s="1">
        <v>0.981403999999951</v>
      </c>
      <c r="M16" s="1">
        <v>81.756</v>
      </c>
      <c r="N16" s="1">
        <v>0.022</v>
      </c>
      <c r="O16" s="1">
        <v>2.8077</v>
      </c>
      <c r="P16" s="7">
        <v>600.0</v>
      </c>
      <c r="Q16" s="1">
        <v>0.942755999999958</v>
      </c>
      <c r="R16" s="1">
        <v>82.4991</v>
      </c>
      <c r="S16" s="1">
        <v>0.765</v>
      </c>
      <c r="T16" s="1">
        <v>3.6362</v>
      </c>
      <c r="U16" s="1">
        <f t="shared" si="1"/>
        <v>3.674234614</v>
      </c>
      <c r="V16" s="1">
        <v>0.89063199999997</v>
      </c>
      <c r="W16" s="1">
        <v>0.999033999999986</v>
      </c>
    </row>
    <row r="17">
      <c r="A17" s="8" t="s">
        <v>46</v>
      </c>
      <c r="B17" s="4">
        <v>0.999584999999993</v>
      </c>
      <c r="C17" s="4">
        <v>87.9091</v>
      </c>
      <c r="D17" s="4">
        <v>6.175</v>
      </c>
      <c r="E17" s="4">
        <v>2.1051</v>
      </c>
      <c r="F17" s="12" t="s">
        <v>28</v>
      </c>
      <c r="G17" s="1">
        <v>0.969967999999952</v>
      </c>
      <c r="H17" s="1">
        <v>80.8771</v>
      </c>
      <c r="I17" s="1">
        <v>-0.8569</v>
      </c>
      <c r="J17" s="1">
        <v>3.754</v>
      </c>
      <c r="K17" s="22" t="s">
        <v>28</v>
      </c>
      <c r="L17" s="1">
        <v>0.96736999999995</v>
      </c>
      <c r="M17" s="1">
        <v>81.8096</v>
      </c>
      <c r="N17" s="1">
        <v>0.0756</v>
      </c>
      <c r="O17" s="1">
        <v>3.1794</v>
      </c>
      <c r="P17" s="7">
        <v>650.0</v>
      </c>
      <c r="Q17" s="1">
        <v>0.949313999999957</v>
      </c>
      <c r="R17" s="1">
        <v>81.4297</v>
      </c>
      <c r="S17" s="1">
        <v>-0.3044</v>
      </c>
      <c r="T17" s="1">
        <v>3.4705</v>
      </c>
      <c r="U17" s="1">
        <f t="shared" si="1"/>
        <v>3.530090432</v>
      </c>
      <c r="V17" s="1">
        <v>0.893264999999967</v>
      </c>
      <c r="W17" s="1">
        <v>0.999419999999991</v>
      </c>
    </row>
    <row r="18">
      <c r="A18" s="8" t="s">
        <v>47</v>
      </c>
      <c r="B18" s="4">
        <v>0.999311999999989</v>
      </c>
      <c r="C18" s="4">
        <v>89.9136</v>
      </c>
      <c r="D18" s="4">
        <v>8.1796</v>
      </c>
      <c r="E18" s="4">
        <v>2.3988</v>
      </c>
      <c r="F18" s="12" t="s">
        <v>31</v>
      </c>
      <c r="G18" s="1">
        <v>0.933642999999963</v>
      </c>
      <c r="H18" s="1">
        <v>80.5806</v>
      </c>
      <c r="I18" s="1">
        <v>-1.1534</v>
      </c>
      <c r="J18" s="1">
        <v>4.6248</v>
      </c>
      <c r="K18" s="22" t="s">
        <v>31</v>
      </c>
      <c r="L18" s="1">
        <v>0.938429999999959</v>
      </c>
      <c r="M18" s="1">
        <v>81.8544</v>
      </c>
      <c r="N18" s="1">
        <v>0.1203</v>
      </c>
      <c r="O18" s="1">
        <v>3.696</v>
      </c>
      <c r="P18" s="7">
        <v>700.0</v>
      </c>
      <c r="Q18" s="1">
        <v>0.954325999999954</v>
      </c>
      <c r="R18" s="1">
        <v>81.6662</v>
      </c>
      <c r="S18" s="1">
        <v>-0.0678</v>
      </c>
      <c r="T18" s="1">
        <v>3.3748</v>
      </c>
      <c r="U18" s="1">
        <f t="shared" si="1"/>
        <v>3.401680257</v>
      </c>
      <c r="V18" s="1">
        <v>0.893693999999964</v>
      </c>
      <c r="W18" s="1">
        <v>0.999645999999994</v>
      </c>
    </row>
    <row r="19">
      <c r="A19" s="8" t="s">
        <v>48</v>
      </c>
      <c r="B19" s="4">
        <v>0.998895999999984</v>
      </c>
      <c r="C19" s="4">
        <v>93.5104</v>
      </c>
      <c r="D19" s="4">
        <v>11.7763</v>
      </c>
      <c r="E19" s="4">
        <v>2.8282</v>
      </c>
      <c r="F19" s="12" t="s">
        <v>34</v>
      </c>
      <c r="G19" s="1">
        <v>0.845816999999984</v>
      </c>
      <c r="H19" s="1">
        <v>79.9875</v>
      </c>
      <c r="I19" s="1">
        <v>-1.7465</v>
      </c>
      <c r="J19" s="1">
        <v>6.2665</v>
      </c>
      <c r="K19" s="22" t="s">
        <v>34</v>
      </c>
      <c r="L19" s="1">
        <v>0.875887999999974</v>
      </c>
      <c r="M19" s="1">
        <v>81.9425</v>
      </c>
      <c r="N19" s="1">
        <v>0.2084</v>
      </c>
      <c r="O19" s="1">
        <v>4.4806</v>
      </c>
      <c r="P19" s="7">
        <v>750.0</v>
      </c>
      <c r="Q19" s="1">
        <v>0.964255999999946</v>
      </c>
      <c r="R19" s="1">
        <v>82.2061</v>
      </c>
      <c r="S19" s="1">
        <v>0.472</v>
      </c>
      <c r="T19" s="1">
        <v>3.2363</v>
      </c>
      <c r="U19" s="1">
        <f t="shared" si="1"/>
        <v>3.286335345</v>
      </c>
      <c r="V19" s="1">
        <v>0.896116999999966</v>
      </c>
      <c r="W19" s="1">
        <v>0.999697999999995</v>
      </c>
    </row>
    <row r="20">
      <c r="A20" s="8" t="s">
        <v>111</v>
      </c>
      <c r="B20" s="1">
        <v>0.997857999999976</v>
      </c>
      <c r="C20" s="1">
        <v>102.0177</v>
      </c>
      <c r="D20" s="1">
        <v>20.2837</v>
      </c>
      <c r="E20" s="1">
        <v>3.7823</v>
      </c>
      <c r="F20" s="12" t="s">
        <v>37</v>
      </c>
      <c r="G20" s="1">
        <v>0.00211800000000003</v>
      </c>
      <c r="H20" s="1" t="s">
        <v>49</v>
      </c>
      <c r="I20" s="1" t="s">
        <v>49</v>
      </c>
      <c r="J20" s="1" t="s">
        <v>49</v>
      </c>
      <c r="K20" s="22" t="s">
        <v>37</v>
      </c>
      <c r="L20" s="1">
        <v>0.725697999999995</v>
      </c>
      <c r="M20" s="1">
        <v>82.1026</v>
      </c>
      <c r="N20" s="1">
        <v>0.3685</v>
      </c>
      <c r="O20" s="1">
        <v>5.9072</v>
      </c>
      <c r="P20" s="7">
        <v>800.0</v>
      </c>
      <c r="Q20" s="1">
        <v>0.969170999999942</v>
      </c>
      <c r="R20" s="1">
        <v>81.4737</v>
      </c>
      <c r="S20" s="1">
        <v>-0.2604</v>
      </c>
      <c r="T20" s="1">
        <v>3.0795</v>
      </c>
      <c r="U20" s="1">
        <f t="shared" si="1"/>
        <v>3.181980515</v>
      </c>
      <c r="V20" s="1">
        <v>0.897397999999967</v>
      </c>
      <c r="W20" s="1">
        <v>0.999776999999996</v>
      </c>
    </row>
    <row r="21">
      <c r="A21" s="10" t="s">
        <v>40</v>
      </c>
      <c r="B21" s="4"/>
      <c r="C21" s="11"/>
      <c r="D21" s="11"/>
      <c r="E21" s="11"/>
      <c r="F21" s="12" t="s">
        <v>109</v>
      </c>
      <c r="G21" s="4">
        <v>8.76999999999986E-4</v>
      </c>
      <c r="H21" s="1" t="s">
        <v>49</v>
      </c>
      <c r="I21" s="1" t="s">
        <v>49</v>
      </c>
      <c r="J21" s="1" t="s">
        <v>49</v>
      </c>
      <c r="K21" s="22" t="s">
        <v>109</v>
      </c>
      <c r="L21" s="1">
        <v>0.337025</v>
      </c>
      <c r="M21" s="1">
        <v>82.3312</v>
      </c>
      <c r="N21" s="1">
        <v>0.5971</v>
      </c>
      <c r="O21" s="1">
        <v>9.9832</v>
      </c>
      <c r="P21" s="7">
        <v>850.0</v>
      </c>
      <c r="Q21" s="1">
        <v>0.974960999999944</v>
      </c>
      <c r="R21" s="1">
        <v>82.0289</v>
      </c>
      <c r="S21" s="1">
        <v>0.2949</v>
      </c>
      <c r="T21" s="1">
        <v>2.9735</v>
      </c>
      <c r="U21" s="1">
        <f t="shared" si="1"/>
        <v>3.086974533</v>
      </c>
      <c r="V21" s="1">
        <v>0.898334999999967</v>
      </c>
      <c r="W21" s="1">
        <v>0.999858999999997</v>
      </c>
    </row>
    <row r="22">
      <c r="A22" s="12" t="s">
        <v>18</v>
      </c>
      <c r="B22" s="4">
        <v>0.996640999999978</v>
      </c>
      <c r="C22" s="4">
        <v>73.0598</v>
      </c>
      <c r="D22" s="4">
        <v>-8.6743</v>
      </c>
      <c r="E22" s="4">
        <v>3.3083</v>
      </c>
      <c r="F22" s="15" t="s">
        <v>50</v>
      </c>
      <c r="K22" s="21" t="s">
        <v>112</v>
      </c>
      <c r="M22" s="1" t="s">
        <v>8</v>
      </c>
      <c r="N22" s="1" t="s">
        <v>14</v>
      </c>
      <c r="O22" s="1" t="s">
        <v>15</v>
      </c>
      <c r="P22" s="7">
        <v>900.0</v>
      </c>
      <c r="Q22" s="1">
        <v>0.977387999999938</v>
      </c>
      <c r="R22" s="1">
        <v>82.0529</v>
      </c>
      <c r="S22" s="1">
        <v>0.3188</v>
      </c>
      <c r="T22" s="1">
        <v>2.9303</v>
      </c>
      <c r="U22" s="1">
        <f t="shared" si="1"/>
        <v>3</v>
      </c>
      <c r="V22" s="1">
        <v>0.899797999999967</v>
      </c>
      <c r="W22" s="1">
        <v>0.999912999999998</v>
      </c>
    </row>
    <row r="23">
      <c r="A23" s="12" t="s">
        <v>21</v>
      </c>
      <c r="B23" s="4">
        <v>0.990895999999962</v>
      </c>
      <c r="C23" s="4">
        <v>71.5845</v>
      </c>
      <c r="D23" s="4">
        <v>-10.1495</v>
      </c>
      <c r="E23" s="4">
        <v>3.5754</v>
      </c>
      <c r="F23" s="16" t="s">
        <v>51</v>
      </c>
      <c r="G23" s="4">
        <v>0.644271999999998</v>
      </c>
      <c r="H23" s="4">
        <v>78.2235</v>
      </c>
      <c r="I23" s="4">
        <v>-3.5106</v>
      </c>
      <c r="J23" s="4">
        <v>10.6539</v>
      </c>
      <c r="K23" s="22" t="s">
        <v>19</v>
      </c>
      <c r="L23" s="1">
        <v>0.996192999999977</v>
      </c>
      <c r="M23" s="1">
        <v>78.1333</v>
      </c>
      <c r="N23" s="1">
        <v>-3.6008</v>
      </c>
      <c r="O23" s="1">
        <v>2.7165</v>
      </c>
      <c r="P23" s="7">
        <v>950.0</v>
      </c>
      <c r="Q23" s="1">
        <v>0.980661999999939</v>
      </c>
      <c r="R23" s="1">
        <v>81.8873</v>
      </c>
      <c r="S23" s="1">
        <v>0.1533</v>
      </c>
      <c r="T23" s="1">
        <v>2.8237</v>
      </c>
      <c r="U23" s="1">
        <f t="shared" si="1"/>
        <v>2.91998558</v>
      </c>
      <c r="V23" s="1">
        <v>0.898836999999966</v>
      </c>
      <c r="W23" s="1">
        <v>0.999925999999998</v>
      </c>
    </row>
    <row r="24">
      <c r="A24" s="12" t="s">
        <v>24</v>
      </c>
      <c r="B24" s="4">
        <v>0.977516999999958</v>
      </c>
      <c r="C24" s="4">
        <v>69.612</v>
      </c>
      <c r="D24" s="4">
        <v>-12.122</v>
      </c>
      <c r="E24" s="4">
        <v>3.8974</v>
      </c>
      <c r="F24" s="16" t="s">
        <v>52</v>
      </c>
      <c r="G24" s="1">
        <v>0.655690999999995</v>
      </c>
      <c r="H24" s="1">
        <v>78.2633</v>
      </c>
      <c r="I24" s="1">
        <v>-3.4707</v>
      </c>
      <c r="J24" s="1">
        <v>10.4965</v>
      </c>
      <c r="K24" s="22" t="s">
        <v>22</v>
      </c>
      <c r="L24" s="1">
        <v>0.991202999999964</v>
      </c>
      <c r="M24" s="1">
        <v>77.4327</v>
      </c>
      <c r="N24" s="1">
        <v>-4.3013</v>
      </c>
      <c r="O24" s="1">
        <v>2.9867</v>
      </c>
      <c r="P24" s="7">
        <v>1000.0</v>
      </c>
      <c r="Q24" s="1">
        <v>0.982315999999935</v>
      </c>
      <c r="R24" s="1">
        <v>81.5572</v>
      </c>
      <c r="S24" s="1">
        <v>-0.1768</v>
      </c>
      <c r="T24" s="1">
        <v>2.7893</v>
      </c>
      <c r="U24" s="1">
        <f t="shared" si="1"/>
        <v>2.846049894</v>
      </c>
      <c r="V24" s="1">
        <v>0.900076999999965</v>
      </c>
      <c r="W24" s="1">
        <v>0.999898999999998</v>
      </c>
    </row>
    <row r="25">
      <c r="A25" s="12" t="s">
        <v>27</v>
      </c>
      <c r="B25" s="4">
        <v>0.948967999999964</v>
      </c>
      <c r="C25" s="4">
        <v>66.8254</v>
      </c>
      <c r="D25" s="4">
        <v>-14.9087</v>
      </c>
      <c r="E25" s="4">
        <v>4.2976</v>
      </c>
      <c r="F25" s="16" t="s">
        <v>53</v>
      </c>
      <c r="G25" s="1">
        <v>0.671268999999998</v>
      </c>
      <c r="H25" s="1">
        <v>78.3302</v>
      </c>
      <c r="I25" s="1">
        <v>-3.4039</v>
      </c>
      <c r="J25" s="1">
        <v>10.2588</v>
      </c>
      <c r="K25" s="22" t="s">
        <v>25</v>
      </c>
      <c r="L25" s="1">
        <v>0.979919999999956</v>
      </c>
      <c r="M25" s="1">
        <v>76.4589</v>
      </c>
      <c r="N25" s="1">
        <v>-5.2751</v>
      </c>
      <c r="O25" s="1">
        <v>3.3251</v>
      </c>
      <c r="P25" s="7">
        <v>1050.0</v>
      </c>
      <c r="Q25" s="1">
        <v>0.985126999999938</v>
      </c>
      <c r="R25" s="1">
        <v>82.0078</v>
      </c>
      <c r="S25" s="1">
        <v>0.2738</v>
      </c>
      <c r="T25" s="1">
        <v>2.7579</v>
      </c>
      <c r="U25" s="1">
        <f t="shared" si="1"/>
        <v>2.777460299</v>
      </c>
      <c r="V25" s="1">
        <v>0.899957999999968</v>
      </c>
      <c r="W25" s="1">
        <v>0.999953999999999</v>
      </c>
    </row>
    <row r="26">
      <c r="A26" s="12" t="s">
        <v>30</v>
      </c>
      <c r="B26" s="4">
        <v>0.889463999999979</v>
      </c>
      <c r="C26" s="4">
        <v>62.5925</v>
      </c>
      <c r="D26" s="4">
        <v>-19.1415</v>
      </c>
      <c r="E26" s="4">
        <v>4.8134</v>
      </c>
      <c r="F26" s="16" t="s">
        <v>54</v>
      </c>
      <c r="G26" s="1">
        <v>0.692642999999994</v>
      </c>
      <c r="H26" s="1">
        <v>78.4425</v>
      </c>
      <c r="I26" s="1">
        <v>-3.2916</v>
      </c>
      <c r="J26" s="1">
        <v>9.9014</v>
      </c>
      <c r="K26" s="22" t="s">
        <v>28</v>
      </c>
      <c r="L26" s="1">
        <v>0.95469999999996</v>
      </c>
      <c r="M26" s="1">
        <v>75.0069</v>
      </c>
      <c r="N26" s="1">
        <v>-6.7272</v>
      </c>
      <c r="O26" s="1">
        <v>3.7709</v>
      </c>
      <c r="P26" s="7">
        <v>1100.0</v>
      </c>
      <c r="Q26" s="1">
        <v>0.98711999999994</v>
      </c>
      <c r="R26" s="1">
        <v>82.207</v>
      </c>
      <c r="S26" s="1">
        <v>0.473</v>
      </c>
      <c r="T26" s="1">
        <v>2.6791</v>
      </c>
      <c r="U26" s="1">
        <f t="shared" si="1"/>
        <v>2.713602101</v>
      </c>
      <c r="V26" s="1">
        <v>0.901891999999964</v>
      </c>
      <c r="W26" s="1">
        <v>0.999971999999999</v>
      </c>
    </row>
    <row r="27">
      <c r="A27" s="12" t="s">
        <v>33</v>
      </c>
      <c r="B27" s="4">
        <v>0.767248999999991</v>
      </c>
      <c r="C27" s="4">
        <v>55.3322</v>
      </c>
      <c r="D27" s="4">
        <v>-26.4018</v>
      </c>
      <c r="E27" s="4">
        <v>5.5429</v>
      </c>
      <c r="F27" s="16" t="s">
        <v>55</v>
      </c>
      <c r="G27" s="1">
        <v>0.722070999999989</v>
      </c>
      <c r="H27" s="1">
        <v>78.6313</v>
      </c>
      <c r="I27" s="1">
        <v>-3.1028</v>
      </c>
      <c r="J27" s="1">
        <v>9.3673</v>
      </c>
      <c r="K27" s="22" t="s">
        <v>31</v>
      </c>
      <c r="L27" s="1">
        <v>0.900164999999975</v>
      </c>
      <c r="M27" s="1">
        <v>72.5428</v>
      </c>
      <c r="N27" s="1">
        <v>-9.1912</v>
      </c>
      <c r="O27" s="1">
        <v>4.4043</v>
      </c>
      <c r="P27" s="7">
        <v>1150.0</v>
      </c>
      <c r="Q27" s="1">
        <v>0.987031999999944</v>
      </c>
      <c r="R27" s="1">
        <v>81.6374</v>
      </c>
      <c r="S27" s="1">
        <v>-0.0966</v>
      </c>
      <c r="T27" s="1">
        <v>2.6749</v>
      </c>
      <c r="U27" s="1">
        <f t="shared" si="1"/>
        <v>2.653955211</v>
      </c>
      <c r="V27" s="1">
        <v>0.902825999999968</v>
      </c>
      <c r="W27" s="1">
        <v>0.999980999999999</v>
      </c>
    </row>
    <row r="28">
      <c r="A28" s="12" t="s">
        <v>36</v>
      </c>
      <c r="B28" s="4">
        <v>0.00214000000000003</v>
      </c>
      <c r="C28" s="4">
        <v>39.6194</v>
      </c>
      <c r="D28" s="4">
        <v>-42.1147</v>
      </c>
      <c r="E28" s="4">
        <v>7.2317</v>
      </c>
      <c r="F28" s="16" t="s">
        <v>56</v>
      </c>
      <c r="G28" s="4">
        <v>0.760872999999987</v>
      </c>
      <c r="H28" s="4">
        <v>78.9494</v>
      </c>
      <c r="I28" s="4">
        <v>-2.7847</v>
      </c>
      <c r="J28" s="4">
        <v>8.5749</v>
      </c>
      <c r="K28" s="22" t="s">
        <v>34</v>
      </c>
      <c r="L28" s="1">
        <v>0.781163999999987</v>
      </c>
      <c r="M28" s="1">
        <v>67.6388</v>
      </c>
      <c r="N28" s="1">
        <v>-14.0952</v>
      </c>
      <c r="O28" s="1">
        <v>5.406</v>
      </c>
      <c r="P28" s="7">
        <v>1200.0</v>
      </c>
      <c r="Q28" s="1">
        <v>0.990390999999942</v>
      </c>
      <c r="R28" s="1">
        <v>81.969</v>
      </c>
      <c r="S28" s="1">
        <v>0.235</v>
      </c>
      <c r="T28" s="1">
        <v>2.5189</v>
      </c>
      <c r="U28" s="1">
        <f t="shared" si="1"/>
        <v>2.598076211</v>
      </c>
      <c r="V28" s="1">
        <v>0.902404999999965</v>
      </c>
      <c r="W28" s="1">
        <v>0.999985999999999</v>
      </c>
    </row>
    <row r="29">
      <c r="A29" s="12" t="s">
        <v>108</v>
      </c>
      <c r="B29" s="4">
        <v>8.76999999999986E-4</v>
      </c>
      <c r="C29" s="4">
        <v>0.0</v>
      </c>
      <c r="D29" s="4">
        <v>-81.734</v>
      </c>
      <c r="E29" s="4">
        <v>9.397</v>
      </c>
      <c r="F29" s="16" t="s">
        <v>57</v>
      </c>
      <c r="G29" s="1">
        <v>0.809102999999986</v>
      </c>
      <c r="H29" s="1">
        <v>79.4858</v>
      </c>
      <c r="I29" s="1">
        <v>-2.2482</v>
      </c>
      <c r="J29" s="1">
        <v>7.4147</v>
      </c>
      <c r="K29" s="22" t="s">
        <v>37</v>
      </c>
      <c r="L29" s="1">
        <v>0.517200999999999</v>
      </c>
      <c r="M29" s="1">
        <v>53.9995</v>
      </c>
      <c r="N29" s="1">
        <v>-27.7345</v>
      </c>
      <c r="O29" s="1">
        <v>7.2209</v>
      </c>
      <c r="P29" s="7">
        <v>1250.0</v>
      </c>
      <c r="Q29" s="1">
        <v>0.990779999999944</v>
      </c>
      <c r="R29" s="1">
        <v>81.834</v>
      </c>
      <c r="S29" s="1">
        <v>0.1</v>
      </c>
      <c r="T29" s="1">
        <v>2.5107</v>
      </c>
      <c r="U29" s="1">
        <f t="shared" si="1"/>
        <v>2.545584412</v>
      </c>
      <c r="V29" s="1">
        <v>0.902850999999964</v>
      </c>
      <c r="W29" s="1">
        <v>0.999990999999999</v>
      </c>
    </row>
    <row r="30">
      <c r="A30" s="12" t="s">
        <v>39</v>
      </c>
      <c r="B30" s="4">
        <v>0.859144999999982</v>
      </c>
      <c r="C30" s="4">
        <v>92.0204</v>
      </c>
      <c r="D30" s="4">
        <v>10.2863</v>
      </c>
      <c r="E30" s="4">
        <v>3.7395</v>
      </c>
      <c r="F30" s="16" t="s">
        <v>58</v>
      </c>
      <c r="G30" s="1">
        <v>0.865655999999979</v>
      </c>
      <c r="H30" s="1">
        <v>80.3885</v>
      </c>
      <c r="I30" s="1">
        <v>-1.3455</v>
      </c>
      <c r="J30" s="1">
        <v>5.7756</v>
      </c>
      <c r="K30" s="22" t="s">
        <v>109</v>
      </c>
      <c r="L30" s="1">
        <v>0.336699</v>
      </c>
      <c r="M30" s="1">
        <v>2.5903</v>
      </c>
      <c r="N30" s="1">
        <v>-79.1437</v>
      </c>
      <c r="O30" s="1">
        <v>8.5685</v>
      </c>
      <c r="P30" s="7">
        <v>1300.0</v>
      </c>
      <c r="Q30" s="1">
        <v>0.991914999999943</v>
      </c>
      <c r="R30" s="1">
        <v>81.9763</v>
      </c>
      <c r="S30" s="1">
        <v>0.2422</v>
      </c>
      <c r="T30" s="1">
        <v>2.5069</v>
      </c>
      <c r="U30" s="1">
        <f t="shared" si="1"/>
        <v>2.496150883</v>
      </c>
      <c r="V30" s="1">
        <v>0.903191999999966</v>
      </c>
      <c r="W30" s="1">
        <v>0.999994999999999</v>
      </c>
    </row>
    <row r="31">
      <c r="A31" s="12" t="s">
        <v>42</v>
      </c>
      <c r="B31" s="4">
        <v>0.827342999999987</v>
      </c>
      <c r="C31" s="4">
        <v>93.7465</v>
      </c>
      <c r="D31" s="4">
        <v>12.0125</v>
      </c>
      <c r="E31" s="4">
        <v>4.0504</v>
      </c>
      <c r="F31" s="16" t="s">
        <v>59</v>
      </c>
      <c r="G31" s="1">
        <v>0.920240999999966</v>
      </c>
      <c r="H31" s="1">
        <v>81.8841</v>
      </c>
      <c r="I31" s="1">
        <v>0.15</v>
      </c>
      <c r="J31" s="1">
        <v>3.7956</v>
      </c>
      <c r="K31" s="21" t="s">
        <v>113</v>
      </c>
      <c r="M31" s="1" t="s">
        <v>8</v>
      </c>
      <c r="N31" s="1" t="s">
        <v>14</v>
      </c>
      <c r="O31" s="1" t="s">
        <v>15</v>
      </c>
      <c r="P31" s="7">
        <v>1350.0</v>
      </c>
      <c r="Q31" s="1">
        <v>0.993111999999947</v>
      </c>
      <c r="R31" s="1">
        <v>81.6396</v>
      </c>
      <c r="S31" s="1">
        <v>-0.0945</v>
      </c>
      <c r="T31" s="1">
        <v>2.4535</v>
      </c>
      <c r="U31" s="1">
        <f t="shared" si="1"/>
        <v>2.449489743</v>
      </c>
      <c r="V31" s="1">
        <v>0.903458999999963</v>
      </c>
      <c r="W31" s="1">
        <v>0.999990999999999</v>
      </c>
    </row>
    <row r="32">
      <c r="A32" s="12" t="s">
        <v>44</v>
      </c>
      <c r="B32" s="4">
        <v>0.784370999999995</v>
      </c>
      <c r="C32" s="4">
        <v>96.0574</v>
      </c>
      <c r="D32" s="4">
        <v>14.3233</v>
      </c>
      <c r="E32" s="4">
        <v>4.4328</v>
      </c>
      <c r="F32" s="16" t="s">
        <v>60</v>
      </c>
      <c r="G32" s="1">
        <v>0.947482999999946</v>
      </c>
      <c r="H32" s="1">
        <v>84.222</v>
      </c>
      <c r="I32" s="1">
        <v>2.488</v>
      </c>
      <c r="J32" s="1">
        <v>3.4792</v>
      </c>
      <c r="K32" s="22" t="s">
        <v>19</v>
      </c>
      <c r="L32" s="1">
        <v>0.965392999999944</v>
      </c>
      <c r="M32" s="1">
        <v>85.3686</v>
      </c>
      <c r="N32" s="1">
        <v>3.6346</v>
      </c>
      <c r="O32" s="1">
        <v>2.9891</v>
      </c>
      <c r="P32" s="7">
        <v>1400.0</v>
      </c>
      <c r="Q32" s="1">
        <v>0.99397599999995</v>
      </c>
      <c r="R32" s="1">
        <v>81.9743</v>
      </c>
      <c r="S32" s="1">
        <v>0.2402</v>
      </c>
      <c r="T32" s="1">
        <v>2.3618</v>
      </c>
      <c r="U32" s="1">
        <f t="shared" si="1"/>
        <v>2.405351177</v>
      </c>
      <c r="V32" s="1">
        <v>0.902623999999965</v>
      </c>
      <c r="W32" s="1">
        <v>0.999996999999999</v>
      </c>
    </row>
    <row r="33">
      <c r="A33" s="12" t="s">
        <v>45</v>
      </c>
      <c r="B33" s="4">
        <v>0.726266999999994</v>
      </c>
      <c r="C33" s="4">
        <v>99.3623</v>
      </c>
      <c r="D33" s="4">
        <v>17.6283</v>
      </c>
      <c r="E33" s="4">
        <v>4.9025</v>
      </c>
      <c r="F33" s="16" t="s">
        <v>61</v>
      </c>
      <c r="G33" s="1">
        <v>0.911597999999969</v>
      </c>
      <c r="H33" s="1">
        <v>87.2509</v>
      </c>
      <c r="I33" s="1">
        <v>5.5169</v>
      </c>
      <c r="J33" s="1">
        <v>6.4198</v>
      </c>
      <c r="K33" s="22" t="s">
        <v>22</v>
      </c>
      <c r="L33" s="1">
        <v>0.951206999999946</v>
      </c>
      <c r="M33" s="1">
        <v>86.0879</v>
      </c>
      <c r="N33" s="1">
        <v>4.3539</v>
      </c>
      <c r="O33" s="1">
        <v>3.303</v>
      </c>
      <c r="P33" s="7">
        <v>1450.0</v>
      </c>
      <c r="Q33" s="1">
        <v>0.994656999999954</v>
      </c>
      <c r="R33" s="1">
        <v>82.0656</v>
      </c>
      <c r="S33" s="1">
        <v>0.3316</v>
      </c>
      <c r="T33" s="1">
        <v>2.3419</v>
      </c>
      <c r="U33" s="1">
        <f t="shared" si="1"/>
        <v>2.363515791</v>
      </c>
      <c r="V33" s="1">
        <v>0.904447999999966</v>
      </c>
      <c r="W33" s="1">
        <v>0.999995999999999</v>
      </c>
    </row>
    <row r="34">
      <c r="A34" s="12" t="s">
        <v>46</v>
      </c>
      <c r="B34" s="4">
        <v>0.643904000000001</v>
      </c>
      <c r="C34" s="4">
        <v>104.2618</v>
      </c>
      <c r="D34" s="4">
        <v>22.5277</v>
      </c>
      <c r="E34" s="4">
        <v>5.4943</v>
      </c>
      <c r="F34" s="23" t="s">
        <v>114</v>
      </c>
      <c r="K34" s="22" t="s">
        <v>25</v>
      </c>
      <c r="L34" s="1">
        <v>0.928480999999955</v>
      </c>
      <c r="M34" s="1">
        <v>87.1086</v>
      </c>
      <c r="N34" s="1">
        <v>5.3745</v>
      </c>
      <c r="O34" s="1">
        <v>3.7016</v>
      </c>
      <c r="P34" s="7">
        <v>1500.0</v>
      </c>
      <c r="Q34" s="1">
        <v>0.995063999999955</v>
      </c>
      <c r="R34" s="1">
        <v>81.6753</v>
      </c>
      <c r="S34" s="1">
        <v>-0.0587</v>
      </c>
      <c r="T34" s="1">
        <v>2.2825</v>
      </c>
      <c r="U34" s="1">
        <f t="shared" si="1"/>
        <v>2.323790008</v>
      </c>
      <c r="V34" s="1">
        <v>0.904738999999964</v>
      </c>
      <c r="W34" s="1">
        <v>0.999997999999999</v>
      </c>
    </row>
    <row r="35">
      <c r="A35" s="12" t="s">
        <v>47</v>
      </c>
      <c r="B35" s="4">
        <v>0.531005999999999</v>
      </c>
      <c r="C35" s="4">
        <v>112.5771</v>
      </c>
      <c r="D35" s="4">
        <v>30.8431</v>
      </c>
      <c r="E35" s="4">
        <v>6.282</v>
      </c>
      <c r="F35" s="24" t="s">
        <v>51</v>
      </c>
      <c r="G35" s="4">
        <v>0.725697999999995</v>
      </c>
      <c r="H35" s="4">
        <v>82.2587</v>
      </c>
      <c r="I35" s="4">
        <v>0.5246</v>
      </c>
      <c r="J35" s="4">
        <v>5.7898</v>
      </c>
      <c r="K35" s="22" t="s">
        <v>28</v>
      </c>
      <c r="L35" s="1">
        <v>0.891606999999976</v>
      </c>
      <c r="M35" s="1">
        <v>88.7029</v>
      </c>
      <c r="N35" s="1">
        <v>6.9689</v>
      </c>
      <c r="O35" s="1">
        <v>4.2331</v>
      </c>
      <c r="P35" s="7">
        <v>1550.0</v>
      </c>
      <c r="Q35" s="1">
        <v>0.995881999999959</v>
      </c>
      <c r="R35" s="1">
        <v>81.514</v>
      </c>
      <c r="S35" s="1">
        <v>-0.22</v>
      </c>
      <c r="T35" s="1">
        <v>2.2089</v>
      </c>
      <c r="U35" s="1">
        <f t="shared" si="1"/>
        <v>2.286002286</v>
      </c>
      <c r="V35" s="1">
        <v>0.904053999999964</v>
      </c>
      <c r="W35" s="1">
        <v>1.0</v>
      </c>
    </row>
    <row r="36">
      <c r="A36" s="12" t="s">
        <v>48</v>
      </c>
      <c r="B36" s="4">
        <v>0.367037999999999</v>
      </c>
      <c r="C36" s="4">
        <v>130.2244</v>
      </c>
      <c r="D36" s="4">
        <v>48.4904</v>
      </c>
      <c r="E36" s="4">
        <v>7.9338</v>
      </c>
      <c r="F36" s="24" t="s">
        <v>52</v>
      </c>
      <c r="G36" s="4">
        <v>0.725698999999995</v>
      </c>
      <c r="H36" s="4">
        <v>82.2587</v>
      </c>
      <c r="I36" s="4">
        <v>0.5246</v>
      </c>
      <c r="J36" s="4">
        <v>5.7898</v>
      </c>
      <c r="K36" s="22" t="s">
        <v>31</v>
      </c>
      <c r="L36" s="1">
        <v>0.825287999999983</v>
      </c>
      <c r="M36" s="1">
        <v>91.3335</v>
      </c>
      <c r="N36" s="1">
        <v>9.5995</v>
      </c>
      <c r="O36" s="1">
        <v>5.0058</v>
      </c>
      <c r="P36" s="7">
        <v>1600.0</v>
      </c>
      <c r="Q36" s="1">
        <v>0.996506999999963</v>
      </c>
      <c r="R36" s="1">
        <v>81.6076</v>
      </c>
      <c r="S36" s="1">
        <v>-0.1264</v>
      </c>
      <c r="T36" s="1">
        <v>2.1688</v>
      </c>
      <c r="U36" s="1">
        <f t="shared" si="1"/>
        <v>2.25</v>
      </c>
      <c r="V36" s="1">
        <v>0.905276999999966</v>
      </c>
      <c r="W36" s="1">
        <v>0.999997999999999</v>
      </c>
    </row>
    <row r="37">
      <c r="A37" s="12" t="s">
        <v>111</v>
      </c>
      <c r="B37" s="1">
        <v>8.91999999999986E-4</v>
      </c>
      <c r="C37" s="1">
        <v>180.0</v>
      </c>
      <c r="D37" s="1">
        <v>98.266</v>
      </c>
      <c r="E37" s="1">
        <v>9.397</v>
      </c>
      <c r="F37" s="24" t="s">
        <v>53</v>
      </c>
      <c r="G37" s="4">
        <v>0.725702999999995</v>
      </c>
      <c r="H37" s="4">
        <v>82.2587</v>
      </c>
      <c r="I37" s="4">
        <v>0.5246</v>
      </c>
      <c r="J37" s="4">
        <v>5.7898</v>
      </c>
      <c r="K37" s="22" t="s">
        <v>34</v>
      </c>
      <c r="L37" s="1">
        <v>0.701871999999997</v>
      </c>
      <c r="M37" s="1">
        <v>96.6256</v>
      </c>
      <c r="N37" s="1">
        <v>14.8915</v>
      </c>
      <c r="O37" s="1">
        <v>6.229</v>
      </c>
      <c r="P37" s="7">
        <v>1650.0</v>
      </c>
      <c r="Q37" s="1">
        <v>0.996494999999963</v>
      </c>
      <c r="R37" s="1">
        <v>81.642</v>
      </c>
      <c r="S37" s="1">
        <v>-0.092</v>
      </c>
      <c r="T37" s="1">
        <v>2.23</v>
      </c>
      <c r="U37" s="1">
        <f t="shared" si="1"/>
        <v>2.215646838</v>
      </c>
      <c r="V37" s="1">
        <v>0.905044999999964</v>
      </c>
      <c r="W37" s="1">
        <v>0.999997999999999</v>
      </c>
    </row>
    <row r="38">
      <c r="A38" s="15" t="s">
        <v>50</v>
      </c>
      <c r="F38" s="24" t="s">
        <v>54</v>
      </c>
      <c r="G38" s="4">
        <v>0.725736999999994</v>
      </c>
      <c r="H38" s="4">
        <v>82.2587</v>
      </c>
      <c r="I38" s="4">
        <v>0.5246</v>
      </c>
      <c r="J38" s="4">
        <v>5.7897</v>
      </c>
      <c r="K38" s="22" t="s">
        <v>37</v>
      </c>
      <c r="L38" s="1">
        <v>0.464194000000001</v>
      </c>
      <c r="M38" s="1">
        <v>111.5108</v>
      </c>
      <c r="N38" s="1">
        <v>29.7768</v>
      </c>
      <c r="O38" s="1">
        <v>8.5053</v>
      </c>
      <c r="P38" s="7">
        <v>1700.0</v>
      </c>
      <c r="Q38" s="1">
        <v>0.997020999999966</v>
      </c>
      <c r="R38" s="1">
        <v>81.5978</v>
      </c>
      <c r="S38" s="1">
        <v>-0.1362</v>
      </c>
      <c r="T38" s="1">
        <v>2.1605</v>
      </c>
      <c r="U38" s="1">
        <f t="shared" si="1"/>
        <v>2.182820625</v>
      </c>
      <c r="V38" s="1">
        <v>0.905535999999967</v>
      </c>
      <c r="W38" s="1">
        <v>0.999999</v>
      </c>
    </row>
    <row r="39">
      <c r="A39" s="16" t="s">
        <v>62</v>
      </c>
      <c r="B39" s="1">
        <v>0.539742000000002</v>
      </c>
      <c r="C39" s="4">
        <v>39.978</v>
      </c>
      <c r="D39" s="4">
        <v>-41.756</v>
      </c>
      <c r="E39" s="4">
        <v>6.6022</v>
      </c>
      <c r="F39" s="24" t="s">
        <v>55</v>
      </c>
      <c r="G39" s="1">
        <v>0.725912999999994</v>
      </c>
      <c r="H39" s="4">
        <v>82.2586</v>
      </c>
      <c r="I39" s="4">
        <v>0.5245</v>
      </c>
      <c r="J39" s="4">
        <v>5.7886</v>
      </c>
      <c r="K39" s="22" t="s">
        <v>109</v>
      </c>
      <c r="L39" s="1">
        <v>0.336835999999999</v>
      </c>
      <c r="M39" s="1">
        <v>175.1917</v>
      </c>
      <c r="N39" s="1">
        <v>93.4576</v>
      </c>
      <c r="O39" s="1">
        <v>7.9733</v>
      </c>
      <c r="P39" s="7">
        <v>1750.0</v>
      </c>
      <c r="Q39" s="1">
        <v>0.997059999999967</v>
      </c>
      <c r="R39" s="1">
        <v>81.4872</v>
      </c>
      <c r="S39" s="1">
        <v>-0.2469</v>
      </c>
      <c r="T39" s="1">
        <v>2.1435</v>
      </c>
      <c r="U39" s="1">
        <f t="shared" si="1"/>
        <v>2.151411497</v>
      </c>
      <c r="V39" s="1">
        <v>0.905767999999964</v>
      </c>
      <c r="W39" s="1">
        <v>0.999999</v>
      </c>
    </row>
    <row r="40">
      <c r="A40" s="16" t="s">
        <v>63</v>
      </c>
      <c r="B40" s="1">
        <v>0.556639999999995</v>
      </c>
      <c r="C40" s="1">
        <v>40.107</v>
      </c>
      <c r="D40" s="1">
        <v>-41.627</v>
      </c>
      <c r="E40" s="1">
        <v>6.5522</v>
      </c>
      <c r="F40" s="24" t="s">
        <v>56</v>
      </c>
      <c r="G40" s="4">
        <v>0.726916999999994</v>
      </c>
      <c r="H40" s="4">
        <v>82.2582</v>
      </c>
      <c r="I40" s="4">
        <v>0.5242</v>
      </c>
      <c r="J40" s="4">
        <v>5.7824</v>
      </c>
      <c r="K40" s="21" t="s">
        <v>115</v>
      </c>
      <c r="M40" s="1" t="s">
        <v>8</v>
      </c>
      <c r="N40" s="1" t="s">
        <v>14</v>
      </c>
      <c r="O40" s="1" t="s">
        <v>15</v>
      </c>
      <c r="P40" s="7">
        <v>1800.0</v>
      </c>
      <c r="Q40" s="1">
        <v>0.997536999999971</v>
      </c>
      <c r="R40" s="1">
        <v>81.5854</v>
      </c>
      <c r="S40" s="1">
        <v>-0.1486</v>
      </c>
      <c r="T40" s="1">
        <v>2.0879</v>
      </c>
      <c r="U40" s="1">
        <f t="shared" si="1"/>
        <v>2.121320344</v>
      </c>
      <c r="V40" s="1">
        <v>0.905436999999964</v>
      </c>
      <c r="W40" s="1">
        <v>0.999999</v>
      </c>
    </row>
    <row r="41">
      <c r="A41" s="16" t="s">
        <v>64</v>
      </c>
      <c r="B41" s="1">
        <v>0.579823999999996</v>
      </c>
      <c r="C41" s="1">
        <v>40.3233</v>
      </c>
      <c r="D41" s="1">
        <v>-41.4108</v>
      </c>
      <c r="E41" s="1">
        <v>6.4797</v>
      </c>
      <c r="F41" s="24" t="s">
        <v>57</v>
      </c>
      <c r="G41" s="1">
        <v>0.731920999999992</v>
      </c>
      <c r="H41" s="1">
        <v>82.2585</v>
      </c>
      <c r="I41" s="1">
        <v>0.5244</v>
      </c>
      <c r="J41" s="1">
        <v>5.7465</v>
      </c>
      <c r="K41" s="22" t="s">
        <v>19</v>
      </c>
      <c r="L41" s="1">
        <v>0.996332999999976</v>
      </c>
      <c r="M41" s="1">
        <v>81.2416</v>
      </c>
      <c r="N41" s="1">
        <v>-0.4924</v>
      </c>
      <c r="O41" s="1">
        <v>2.5147</v>
      </c>
      <c r="P41" s="7">
        <v>1850.0</v>
      </c>
      <c r="Q41" s="1">
        <v>0.997728999999973</v>
      </c>
      <c r="R41" s="1">
        <v>81.7675</v>
      </c>
      <c r="S41" s="1">
        <v>0.0334</v>
      </c>
      <c r="T41" s="1">
        <v>2.0825</v>
      </c>
      <c r="U41" s="1">
        <f t="shared" si="1"/>
        <v>2.092457497</v>
      </c>
      <c r="V41" s="1">
        <v>0.905617999999965</v>
      </c>
      <c r="W41" s="1">
        <v>0.999999</v>
      </c>
    </row>
    <row r="42">
      <c r="A42" s="16" t="s">
        <v>65</v>
      </c>
      <c r="B42" s="1">
        <v>0.611407999999996</v>
      </c>
      <c r="C42" s="1">
        <v>40.6868</v>
      </c>
      <c r="D42" s="1">
        <v>-41.0472</v>
      </c>
      <c r="E42" s="1">
        <v>6.3765</v>
      </c>
      <c r="F42" s="24" t="s">
        <v>58</v>
      </c>
      <c r="G42" s="1">
        <v>0.752819999999991</v>
      </c>
      <c r="H42" s="1">
        <v>82.271</v>
      </c>
      <c r="I42" s="1">
        <v>0.5369</v>
      </c>
      <c r="J42" s="1">
        <v>5.5672</v>
      </c>
      <c r="K42" s="22" t="s">
        <v>22</v>
      </c>
      <c r="L42" s="1">
        <v>0.992941999999964</v>
      </c>
      <c r="M42" s="1">
        <v>81.1488</v>
      </c>
      <c r="N42" s="1">
        <v>-0.5852</v>
      </c>
      <c r="O42" s="1">
        <v>2.8108</v>
      </c>
      <c r="P42" s="7">
        <v>1900.0</v>
      </c>
      <c r="Q42" s="1">
        <v>0.998065999999974</v>
      </c>
      <c r="R42" s="1">
        <v>82.1388</v>
      </c>
      <c r="S42" s="1">
        <v>0.4048</v>
      </c>
      <c r="T42" s="1">
        <v>2.0583</v>
      </c>
      <c r="U42" s="1">
        <f t="shared" si="1"/>
        <v>2.064741605</v>
      </c>
      <c r="V42" s="1">
        <v>0.905617999999965</v>
      </c>
      <c r="W42" s="1">
        <v>1.0</v>
      </c>
    </row>
    <row r="43">
      <c r="A43" s="16" t="s">
        <v>66</v>
      </c>
      <c r="B43" s="1">
        <v>0.653982999999996</v>
      </c>
      <c r="C43" s="1">
        <v>41.3017</v>
      </c>
      <c r="D43" s="1">
        <v>-40.4323</v>
      </c>
      <c r="E43" s="1">
        <v>6.2332</v>
      </c>
      <c r="F43" s="24" t="s">
        <v>59</v>
      </c>
      <c r="G43" s="1">
        <v>0.812443999999987</v>
      </c>
      <c r="H43" s="1">
        <v>82.4055</v>
      </c>
      <c r="I43" s="1">
        <v>0.6715</v>
      </c>
      <c r="J43" s="1">
        <v>4.8713</v>
      </c>
      <c r="K43" s="22" t="s">
        <v>25</v>
      </c>
      <c r="L43" s="1">
        <v>0.985795999999956</v>
      </c>
      <c r="M43" s="1">
        <v>81.0274</v>
      </c>
      <c r="N43" s="1">
        <v>-0.7066</v>
      </c>
      <c r="O43" s="1">
        <v>3.2024</v>
      </c>
      <c r="P43" s="7">
        <v>1950.0</v>
      </c>
      <c r="Q43" s="1">
        <v>0.998252999999977</v>
      </c>
      <c r="R43" s="1">
        <v>81.7165</v>
      </c>
      <c r="S43" s="1">
        <v>-0.0175</v>
      </c>
      <c r="T43" s="1">
        <v>2.0227</v>
      </c>
      <c r="U43" s="1">
        <f t="shared" si="1"/>
        <v>2.038098661</v>
      </c>
      <c r="V43" s="1">
        <v>0.905617999999965</v>
      </c>
      <c r="W43" s="1">
        <v>0.999999</v>
      </c>
    </row>
    <row r="44">
      <c r="A44" s="16" t="s">
        <v>67</v>
      </c>
      <c r="B44" s="4">
        <v>0.710590999999993</v>
      </c>
      <c r="C44" s="4">
        <v>42.3521</v>
      </c>
      <c r="D44" s="4">
        <v>-39.3819</v>
      </c>
      <c r="E44" s="4">
        <v>6.0407</v>
      </c>
      <c r="F44" s="24" t="s">
        <v>60</v>
      </c>
      <c r="G44" s="1">
        <v>0.90431499999997</v>
      </c>
      <c r="H44" s="1">
        <v>83.2711</v>
      </c>
      <c r="I44" s="1">
        <v>1.537</v>
      </c>
      <c r="J44" s="1">
        <v>3.5105</v>
      </c>
      <c r="K44" s="22" t="s">
        <v>28</v>
      </c>
      <c r="L44" s="1">
        <v>0.969968999999952</v>
      </c>
      <c r="M44" s="1">
        <v>80.8771</v>
      </c>
      <c r="N44" s="1">
        <v>-0.8569</v>
      </c>
      <c r="O44" s="1">
        <v>3.754</v>
      </c>
      <c r="P44" s="7">
        <v>2000.0</v>
      </c>
      <c r="Q44" s="1">
        <v>0.99844999999998</v>
      </c>
      <c r="R44" s="1">
        <v>81.8596</v>
      </c>
      <c r="S44" s="1">
        <v>0.1256</v>
      </c>
      <c r="T44" s="1">
        <v>1.9757</v>
      </c>
      <c r="U44" s="1">
        <f t="shared" si="1"/>
        <v>2.01246118</v>
      </c>
      <c r="V44" s="1">
        <v>0.905617999999965</v>
      </c>
      <c r="W44" s="1">
        <v>1.0</v>
      </c>
    </row>
    <row r="45">
      <c r="A45" s="16" t="s">
        <v>68</v>
      </c>
      <c r="B45" s="1">
        <v>0.783135999999988</v>
      </c>
      <c r="C45" s="1">
        <v>44.1782</v>
      </c>
      <c r="D45" s="1">
        <v>-37.5559</v>
      </c>
      <c r="E45" s="1">
        <v>5.7959</v>
      </c>
      <c r="F45" s="24" t="s">
        <v>61</v>
      </c>
      <c r="G45" s="1">
        <v>0.955483999999947</v>
      </c>
      <c r="H45" s="1">
        <v>85.7694</v>
      </c>
      <c r="I45" s="1">
        <v>4.0354</v>
      </c>
      <c r="J45" s="1">
        <v>4.8179</v>
      </c>
      <c r="K45" s="22" t="s">
        <v>31</v>
      </c>
      <c r="L45" s="1">
        <v>0.933642999999963</v>
      </c>
      <c r="M45" s="1">
        <v>80.5806</v>
      </c>
      <c r="N45" s="1">
        <v>-1.1534</v>
      </c>
      <c r="O45" s="1">
        <v>4.6248</v>
      </c>
    </row>
    <row r="46">
      <c r="A46" s="16" t="s">
        <v>69</v>
      </c>
      <c r="B46" s="1">
        <v>0.866234999999976</v>
      </c>
      <c r="C46" s="1">
        <v>47.4516</v>
      </c>
      <c r="D46" s="1">
        <v>-34.2824</v>
      </c>
      <c r="E46" s="1">
        <v>5.5209</v>
      </c>
      <c r="K46" s="22" t="s">
        <v>34</v>
      </c>
      <c r="L46" s="1">
        <v>0.846150999999983</v>
      </c>
      <c r="M46" s="1">
        <v>79.9876</v>
      </c>
      <c r="N46" s="1">
        <v>-1.7465</v>
      </c>
      <c r="O46" s="1">
        <v>6.2649</v>
      </c>
    </row>
    <row r="47">
      <c r="A47" s="16" t="s">
        <v>70</v>
      </c>
      <c r="B47" s="1">
        <v>0.934892999999961</v>
      </c>
      <c r="C47" s="1">
        <v>53.6432</v>
      </c>
      <c r="D47" s="1">
        <v>-28.0909</v>
      </c>
      <c r="E47" s="1">
        <v>5.3178</v>
      </c>
      <c r="K47" s="22" t="s">
        <v>37</v>
      </c>
      <c r="L47" s="1">
        <v>0.622410999999997</v>
      </c>
      <c r="M47" s="1">
        <v>78.1733</v>
      </c>
      <c r="N47" s="1">
        <v>-3.5607</v>
      </c>
      <c r="O47" s="1">
        <v>10.9114</v>
      </c>
    </row>
    <row r="48">
      <c r="A48" s="16" t="s">
        <v>71</v>
      </c>
      <c r="B48" s="1">
        <v>0.918023999999964</v>
      </c>
      <c r="C48" s="1">
        <v>66.4549</v>
      </c>
      <c r="D48" s="1">
        <v>-15.2791</v>
      </c>
      <c r="E48" s="1">
        <v>5.4952</v>
      </c>
      <c r="K48" s="22" t="s">
        <v>109</v>
      </c>
      <c r="L48" s="1">
        <v>0.336723</v>
      </c>
      <c r="M48" s="1">
        <v>65.1267</v>
      </c>
      <c r="N48" s="1">
        <v>-16.6073</v>
      </c>
      <c r="O48" s="1">
        <v>37.029</v>
      </c>
    </row>
    <row r="49">
      <c r="A49" s="16" t="s">
        <v>72</v>
      </c>
      <c r="B49" s="1">
        <v>0.498433999999998</v>
      </c>
      <c r="C49" s="1">
        <v>97.4865</v>
      </c>
      <c r="D49" s="1">
        <v>15.7524</v>
      </c>
      <c r="E49" s="1">
        <v>6.4592</v>
      </c>
      <c r="K49" s="21" t="s">
        <v>112</v>
      </c>
    </row>
    <row r="50">
      <c r="A50" s="16" t="s">
        <v>73</v>
      </c>
      <c r="B50" s="4">
        <v>0.36897</v>
      </c>
      <c r="C50" s="4">
        <v>129.9084</v>
      </c>
      <c r="D50" s="4">
        <v>48.1744</v>
      </c>
      <c r="E50" s="4">
        <v>7.3291</v>
      </c>
      <c r="K50" s="22" t="s">
        <v>452</v>
      </c>
      <c r="L50" s="1"/>
      <c r="M50" s="2"/>
      <c r="N50" s="2"/>
      <c r="O50" s="2"/>
    </row>
    <row r="51">
      <c r="A51" s="16" t="s">
        <v>74</v>
      </c>
      <c r="B51" s="1">
        <v>0.370876</v>
      </c>
      <c r="C51" s="1">
        <v>129.7863</v>
      </c>
      <c r="D51" s="1">
        <v>48.0522</v>
      </c>
      <c r="E51" s="1">
        <v>7.2702</v>
      </c>
      <c r="K51" s="22" t="s">
        <v>453</v>
      </c>
      <c r="L51" s="2"/>
      <c r="M51" s="2"/>
      <c r="N51" s="2"/>
      <c r="O51" s="2"/>
    </row>
    <row r="52">
      <c r="A52" s="16" t="s">
        <v>75</v>
      </c>
      <c r="B52" s="1">
        <v>0.374729</v>
      </c>
      <c r="C52" s="1">
        <v>129.5815</v>
      </c>
      <c r="D52" s="1">
        <v>47.8475</v>
      </c>
      <c r="E52" s="1">
        <v>7.1839</v>
      </c>
      <c r="K52" s="22" t="s">
        <v>454</v>
      </c>
      <c r="L52" s="2"/>
      <c r="M52" s="2"/>
      <c r="N52" s="2"/>
      <c r="O52" s="2"/>
    </row>
    <row r="53">
      <c r="A53" s="16" t="s">
        <v>76</v>
      </c>
      <c r="B53" s="1">
        <v>0.381525</v>
      </c>
      <c r="C53" s="1">
        <v>129.2375</v>
      </c>
      <c r="D53" s="1">
        <v>47.5035</v>
      </c>
      <c r="E53" s="1">
        <v>7.0594</v>
      </c>
      <c r="K53" s="22" t="s">
        <v>455</v>
      </c>
      <c r="L53" s="1">
        <v>0.974411999999953</v>
      </c>
      <c r="M53" s="1">
        <v>75.3497</v>
      </c>
      <c r="N53" s="1">
        <v>-6.3843</v>
      </c>
      <c r="O53" s="1">
        <v>3.5522</v>
      </c>
    </row>
    <row r="54">
      <c r="A54" s="16" t="s">
        <v>77</v>
      </c>
      <c r="B54" s="1">
        <v>0.393472</v>
      </c>
      <c r="C54" s="1">
        <v>128.6568</v>
      </c>
      <c r="D54" s="1">
        <v>46.9228</v>
      </c>
      <c r="E54" s="1">
        <v>6.8828</v>
      </c>
      <c r="K54" s="22" t="s">
        <v>456</v>
      </c>
      <c r="L54" s="1">
        <v>0.947491999999953</v>
      </c>
      <c r="M54" s="1">
        <v>73.4815</v>
      </c>
      <c r="N54" s="1">
        <v>-8.2525</v>
      </c>
      <c r="O54" s="1">
        <v>3.9643</v>
      </c>
    </row>
    <row r="55">
      <c r="A55" s="16" t="s">
        <v>78</v>
      </c>
      <c r="B55" s="4">
        <v>0.414412</v>
      </c>
      <c r="C55" s="4">
        <v>127.6678</v>
      </c>
      <c r="D55" s="4">
        <v>45.9337</v>
      </c>
      <c r="E55" s="4">
        <v>6.6383</v>
      </c>
      <c r="K55" s="22" t="s">
        <v>457</v>
      </c>
      <c r="L55" s="1">
        <v>0.888783999999974</v>
      </c>
      <c r="M55" s="1">
        <v>70.5527</v>
      </c>
      <c r="N55" s="1">
        <v>-11.1813</v>
      </c>
      <c r="O55" s="1">
        <v>4.5042</v>
      </c>
    </row>
    <row r="56">
      <c r="A56" s="16" t="s">
        <v>79</v>
      </c>
      <c r="B56" s="1">
        <v>0.449672000000002</v>
      </c>
      <c r="C56" s="1">
        <v>125.9563</v>
      </c>
      <c r="D56" s="1">
        <v>44.2223</v>
      </c>
      <c r="E56" s="1">
        <v>6.31</v>
      </c>
      <c r="K56" s="22" t="s">
        <v>458</v>
      </c>
      <c r="L56" s="1">
        <v>0.74632599999999</v>
      </c>
      <c r="M56" s="1">
        <v>64.8724</v>
      </c>
      <c r="N56" s="1">
        <v>-16.8616</v>
      </c>
      <c r="O56" s="1">
        <v>5.3681</v>
      </c>
    </row>
    <row r="57">
      <c r="A57" s="16" t="s">
        <v>80</v>
      </c>
      <c r="B57" s="1">
        <v>0.509451999999998</v>
      </c>
      <c r="C57" s="1">
        <v>122.9058</v>
      </c>
      <c r="D57" s="1">
        <v>41.1718</v>
      </c>
      <c r="E57" s="1">
        <v>5.8923</v>
      </c>
      <c r="K57" s="22" t="s">
        <v>123</v>
      </c>
      <c r="L57" s="9">
        <v>0.33679</v>
      </c>
      <c r="M57" s="9">
        <v>37.9221</v>
      </c>
      <c r="N57" s="9">
        <v>-43.812</v>
      </c>
      <c r="O57" s="9">
        <v>7.1017</v>
      </c>
    </row>
    <row r="58">
      <c r="A58" s="16" t="s">
        <v>81</v>
      </c>
      <c r="B58" s="1">
        <v>0.609497999999998</v>
      </c>
      <c r="C58" s="1">
        <v>117.1649</v>
      </c>
      <c r="D58" s="1">
        <v>35.4309</v>
      </c>
      <c r="E58" s="1">
        <v>5.427</v>
      </c>
    </row>
    <row r="59">
      <c r="A59" s="16" t="s">
        <v>82</v>
      </c>
      <c r="B59" s="1">
        <v>0.757476999999994</v>
      </c>
      <c r="C59" s="1">
        <v>105.2727</v>
      </c>
      <c r="D59" s="1">
        <v>23.5386</v>
      </c>
      <c r="E59" s="1">
        <v>5.1314</v>
      </c>
    </row>
    <row r="60">
      <c r="A60" s="16" t="s">
        <v>83</v>
      </c>
      <c r="B60" s="1">
        <v>0.838444999999987</v>
      </c>
      <c r="C60" s="1">
        <v>75.7837</v>
      </c>
      <c r="D60" s="1">
        <v>-5.9504</v>
      </c>
      <c r="E60" s="1">
        <v>5.4657</v>
      </c>
      <c r="K60" s="18" t="s">
        <v>459</v>
      </c>
      <c r="L60" s="1" t="s">
        <v>140</v>
      </c>
      <c r="M60" s="1" t="s">
        <v>141</v>
      </c>
    </row>
    <row r="61">
      <c r="A61" s="23" t="s">
        <v>114</v>
      </c>
      <c r="K61" s="1" t="s">
        <v>19</v>
      </c>
      <c r="L61" s="1">
        <v>0.121172552437857</v>
      </c>
      <c r="M61" s="1">
        <v>0.0496315617114305</v>
      </c>
    </row>
    <row r="62">
      <c r="A62" s="24" t="s">
        <v>62</v>
      </c>
      <c r="B62" s="4">
        <v>0.545632999999999</v>
      </c>
      <c r="C62" s="4">
        <v>59.873</v>
      </c>
      <c r="D62" s="4">
        <v>-21.8611</v>
      </c>
      <c r="E62" s="4">
        <v>6.439</v>
      </c>
      <c r="K62" s="1" t="s">
        <v>22</v>
      </c>
      <c r="L62" s="1">
        <v>0.127715151852313</v>
      </c>
      <c r="M62" s="17">
        <v>0.0577951788902282</v>
      </c>
    </row>
    <row r="63">
      <c r="A63" s="24" t="s">
        <v>63</v>
      </c>
      <c r="B63" s="1">
        <v>0.545638</v>
      </c>
      <c r="C63" s="4">
        <v>59.873</v>
      </c>
      <c r="D63" s="4">
        <v>-21.8611</v>
      </c>
      <c r="E63" s="4">
        <v>6.439</v>
      </c>
      <c r="K63" s="1" t="s">
        <v>25</v>
      </c>
      <c r="L63" s="1">
        <v>0.13544362155055</v>
      </c>
      <c r="M63" s="1">
        <v>0.0685370415449142</v>
      </c>
    </row>
    <row r="64">
      <c r="A64" s="24" t="s">
        <v>64</v>
      </c>
      <c r="B64" s="1">
        <v>0.545675</v>
      </c>
      <c r="C64" s="1">
        <v>59.873</v>
      </c>
      <c r="D64" s="1">
        <v>-21.861</v>
      </c>
      <c r="E64" s="4">
        <v>6.4389</v>
      </c>
      <c r="K64" s="1" t="s">
        <v>28</v>
      </c>
      <c r="L64" s="1">
        <v>0.145672472845523</v>
      </c>
      <c r="M64" s="1">
        <v>0.0833885490894317</v>
      </c>
    </row>
    <row r="65">
      <c r="A65" s="24" t="s">
        <v>65</v>
      </c>
      <c r="B65" s="1">
        <v>0.545913</v>
      </c>
      <c r="C65" s="1">
        <v>59.8736</v>
      </c>
      <c r="D65" s="1">
        <v>-21.8605</v>
      </c>
      <c r="E65" s="1">
        <v>6.4384</v>
      </c>
      <c r="K65" s="1" t="s">
        <v>31</v>
      </c>
      <c r="L65" s="1">
        <v>0.157654360624631</v>
      </c>
      <c r="M65" s="1">
        <v>0.104995899647474</v>
      </c>
    </row>
    <row r="66">
      <c r="A66" s="24" t="s">
        <v>66</v>
      </c>
      <c r="B66" s="1">
        <v>0.546810999999999</v>
      </c>
      <c r="C66" s="1">
        <v>59.8769</v>
      </c>
      <c r="D66" s="1">
        <v>-21.8571</v>
      </c>
      <c r="E66" s="1">
        <v>6.4361</v>
      </c>
      <c r="K66" s="1" t="s">
        <v>34</v>
      </c>
      <c r="L66" s="1">
        <v>0.174112171756331</v>
      </c>
      <c r="M66" s="1">
        <v>0.139178688824176</v>
      </c>
    </row>
    <row r="67">
      <c r="A67" s="24" t="s">
        <v>67</v>
      </c>
      <c r="B67" s="4">
        <v>0.550537000000001</v>
      </c>
      <c r="C67" s="4">
        <v>59.8968</v>
      </c>
      <c r="D67" s="4">
        <v>-21.8372</v>
      </c>
      <c r="E67" s="4">
        <v>6.4255</v>
      </c>
      <c r="K67" s="1" t="s">
        <v>37</v>
      </c>
      <c r="L67" s="1">
        <v>0.19536932799642</v>
      </c>
      <c r="M67" s="1">
        <v>0.200840298831462</v>
      </c>
    </row>
    <row r="68">
      <c r="A68" s="24" t="s">
        <v>68</v>
      </c>
      <c r="B68" s="1">
        <v>0.563954999999997</v>
      </c>
      <c r="C68" s="1">
        <v>60.01</v>
      </c>
      <c r="D68" s="1">
        <v>-21.7241</v>
      </c>
      <c r="E68" s="1">
        <v>6.3807</v>
      </c>
      <c r="K68" s="1" t="s">
        <v>109</v>
      </c>
      <c r="L68" s="1">
        <v>0.225832571133226</v>
      </c>
      <c r="M68" s="1">
        <v>0.344665437936782</v>
      </c>
    </row>
    <row r="69">
      <c r="A69" s="24" t="s">
        <v>69</v>
      </c>
      <c r="B69" s="1">
        <v>0.604726999999997</v>
      </c>
      <c r="C69" s="1">
        <v>60.5959</v>
      </c>
      <c r="D69" s="1">
        <v>-21.1382</v>
      </c>
      <c r="E69" s="1">
        <v>6.2172</v>
      </c>
    </row>
    <row r="70">
      <c r="A70" s="24" t="s">
        <v>70</v>
      </c>
      <c r="B70" s="1">
        <v>0.696520999999995</v>
      </c>
      <c r="C70" s="1">
        <v>63.2423</v>
      </c>
      <c r="D70" s="1">
        <v>-18.4917</v>
      </c>
      <c r="E70" s="1">
        <v>5.7666</v>
      </c>
    </row>
    <row r="71">
      <c r="A71" s="24" t="s">
        <v>71</v>
      </c>
      <c r="B71" s="1">
        <v>0.775673999999989</v>
      </c>
      <c r="C71" s="1">
        <v>73.0444</v>
      </c>
      <c r="D71" s="1">
        <v>-8.6896</v>
      </c>
      <c r="E71" s="1">
        <v>5.0571</v>
      </c>
    </row>
    <row r="72">
      <c r="A72" s="24" t="s">
        <v>72</v>
      </c>
      <c r="B72" s="1">
        <v>0.556249999999997</v>
      </c>
      <c r="C72" s="1">
        <v>103.4825</v>
      </c>
      <c r="D72" s="1">
        <v>21.7485</v>
      </c>
      <c r="E72" s="1">
        <v>4.9298</v>
      </c>
    </row>
    <row r="73">
      <c r="A73" s="24" t="s">
        <v>73</v>
      </c>
      <c r="B73" s="4">
        <v>0.559021999999998</v>
      </c>
      <c r="C73" s="4">
        <v>109.9667</v>
      </c>
      <c r="D73" s="4">
        <v>28.2326</v>
      </c>
      <c r="E73" s="4">
        <v>6.9037</v>
      </c>
    </row>
    <row r="74">
      <c r="A74" s="24" t="s">
        <v>74</v>
      </c>
      <c r="B74" s="4">
        <v>0.559022999999998</v>
      </c>
      <c r="C74" s="4">
        <v>109.9667</v>
      </c>
      <c r="D74" s="4">
        <v>28.2326</v>
      </c>
      <c r="E74" s="4">
        <v>6.9037</v>
      </c>
    </row>
    <row r="75">
      <c r="A75" s="24" t="s">
        <v>75</v>
      </c>
      <c r="B75" s="1">
        <v>0.559032999999998</v>
      </c>
      <c r="C75" s="1">
        <v>109.9666</v>
      </c>
      <c r="D75" s="1">
        <v>28.2325</v>
      </c>
      <c r="E75" s="1">
        <v>6.9036</v>
      </c>
    </row>
    <row r="76">
      <c r="A76" s="24" t="s">
        <v>76</v>
      </c>
      <c r="B76" s="1">
        <v>0.559066999999998</v>
      </c>
      <c r="C76" s="1">
        <v>109.9659</v>
      </c>
      <c r="D76" s="1">
        <v>28.2319</v>
      </c>
      <c r="E76" s="1">
        <v>6.9032</v>
      </c>
    </row>
    <row r="77">
      <c r="A77" s="24" t="s">
        <v>77</v>
      </c>
      <c r="B77" s="1">
        <v>0.559413999999999</v>
      </c>
      <c r="C77" s="1">
        <v>109.9618</v>
      </c>
      <c r="D77" s="1">
        <v>28.2278</v>
      </c>
      <c r="E77" s="1">
        <v>6.9007</v>
      </c>
    </row>
    <row r="78">
      <c r="A78" s="24" t="s">
        <v>78</v>
      </c>
      <c r="B78" s="4">
        <v>0.561023999999998</v>
      </c>
      <c r="C78" s="4">
        <v>109.9373</v>
      </c>
      <c r="D78" s="4">
        <v>28.2033</v>
      </c>
      <c r="E78" s="4">
        <v>6.8869</v>
      </c>
    </row>
    <row r="79">
      <c r="A79" s="24" t="s">
        <v>79</v>
      </c>
      <c r="B79" s="1">
        <v>0.569444999999998</v>
      </c>
      <c r="C79" s="1">
        <v>109.8008</v>
      </c>
      <c r="D79" s="1">
        <v>28.0667</v>
      </c>
      <c r="E79" s="1">
        <v>6.822</v>
      </c>
    </row>
    <row r="80">
      <c r="A80" s="24" t="s">
        <v>80</v>
      </c>
      <c r="B80" s="1">
        <v>0.602441999999997</v>
      </c>
      <c r="C80" s="1">
        <v>109.1091</v>
      </c>
      <c r="D80" s="1">
        <v>27.3751</v>
      </c>
      <c r="E80" s="1">
        <v>6.5749</v>
      </c>
    </row>
    <row r="81">
      <c r="A81" s="24" t="s">
        <v>81</v>
      </c>
      <c r="B81" s="1">
        <v>0.690939999999994</v>
      </c>
      <c r="C81" s="1">
        <v>106.1004</v>
      </c>
      <c r="D81" s="1">
        <v>24.3664</v>
      </c>
      <c r="E81" s="1">
        <v>5.8794</v>
      </c>
    </row>
    <row r="82">
      <c r="A82" s="24" t="s">
        <v>82</v>
      </c>
      <c r="B82" s="1">
        <v>0.81920999999999</v>
      </c>
      <c r="C82" s="1">
        <v>95.6368</v>
      </c>
      <c r="D82" s="1">
        <v>13.9028</v>
      </c>
      <c r="E82" s="1">
        <v>4.6763</v>
      </c>
    </row>
    <row r="83">
      <c r="A83" s="24" t="s">
        <v>83</v>
      </c>
      <c r="B83" s="1">
        <v>0.762308999999983</v>
      </c>
      <c r="C83" s="1">
        <v>64.0357</v>
      </c>
      <c r="D83" s="1">
        <v>-17.6983</v>
      </c>
      <c r="E83" s="1">
        <v>4.4045</v>
      </c>
    </row>
    <row r="85">
      <c r="A85" s="16" t="s">
        <v>460</v>
      </c>
      <c r="B85" s="1">
        <v>0.946317999999958</v>
      </c>
      <c r="C85" s="1">
        <v>58.7715</v>
      </c>
      <c r="D85" s="1">
        <v>-22.8127</v>
      </c>
      <c r="E85" s="1">
        <v>5.2646</v>
      </c>
    </row>
    <row r="86">
      <c r="A86" s="16" t="s">
        <v>461</v>
      </c>
      <c r="B86" s="1">
        <v>0.845385999999981</v>
      </c>
      <c r="C86" s="1">
        <v>84.4584</v>
      </c>
      <c r="D86" s="1">
        <v>2.7244</v>
      </c>
      <c r="E86" s="1">
        <v>5.3505</v>
      </c>
    </row>
    <row r="87">
      <c r="A87" s="16" t="s">
        <v>462</v>
      </c>
      <c r="B87" s="1">
        <v>0.947714999999949</v>
      </c>
      <c r="C87" s="1">
        <v>87.2369</v>
      </c>
      <c r="D87" s="1">
        <v>5.5028</v>
      </c>
      <c r="E87" s="1">
        <v>6.3749</v>
      </c>
    </row>
    <row r="89">
      <c r="A89" s="24" t="s">
        <v>463</v>
      </c>
      <c r="B89" s="1">
        <v>0.828239999999987</v>
      </c>
      <c r="C89" s="1">
        <v>85.1154</v>
      </c>
      <c r="D89" s="1">
        <v>3.3814</v>
      </c>
      <c r="E89" s="1">
        <v>11.6684</v>
      </c>
    </row>
    <row r="90">
      <c r="A90" s="23" t="s">
        <v>464</v>
      </c>
      <c r="B90" s="18">
        <v>0.835128999999987</v>
      </c>
      <c r="C90" s="18">
        <v>77.7643</v>
      </c>
      <c r="D90" s="18">
        <v>-3.9697</v>
      </c>
      <c r="E90" s="18">
        <v>6.3917</v>
      </c>
    </row>
    <row r="91">
      <c r="A91" s="24" t="s">
        <v>465</v>
      </c>
      <c r="B91" s="1">
        <v>0.834015999999986</v>
      </c>
      <c r="C91" s="1">
        <v>75.5652</v>
      </c>
      <c r="D91" s="1">
        <v>-6.1688</v>
      </c>
      <c r="E91" s="1">
        <v>4.8345</v>
      </c>
    </row>
    <row r="94">
      <c r="A94" s="24" t="s">
        <v>466</v>
      </c>
      <c r="B94" s="1">
        <v>0.868709999999981</v>
      </c>
      <c r="C94" s="1">
        <v>0.0</v>
      </c>
      <c r="D94" s="1">
        <v>-81.734</v>
      </c>
      <c r="E94" s="1">
        <v>9.397</v>
      </c>
    </row>
    <row r="95">
      <c r="A95" s="24" t="s">
        <v>467</v>
      </c>
      <c r="B95" s="1">
        <v>0.881134999999977</v>
      </c>
      <c r="C95" s="1">
        <v>0.339</v>
      </c>
      <c r="D95" s="1">
        <v>-81.395</v>
      </c>
      <c r="E95" s="1">
        <v>9.0448</v>
      </c>
    </row>
    <row r="96">
      <c r="A96" s="24" t="s">
        <v>468</v>
      </c>
      <c r="B96" s="1">
        <v>0.889525999999974</v>
      </c>
      <c r="C96" s="1">
        <v>5.9397</v>
      </c>
      <c r="D96" s="1">
        <v>-75.7943</v>
      </c>
      <c r="E96" s="1">
        <v>9.1561</v>
      </c>
    </row>
    <row r="97">
      <c r="A97" s="24" t="s">
        <v>469</v>
      </c>
      <c r="B97" s="1">
        <v>0.894581999999972</v>
      </c>
      <c r="C97" s="1">
        <v>35.5493</v>
      </c>
      <c r="D97" s="1">
        <v>-46.1848</v>
      </c>
      <c r="E97" s="1">
        <v>11.8736</v>
      </c>
    </row>
    <row r="98">
      <c r="A98" s="24" t="s">
        <v>470</v>
      </c>
      <c r="B98" s="1">
        <v>0.89675899999997</v>
      </c>
      <c r="C98" s="1">
        <v>53.0497</v>
      </c>
      <c r="D98" s="1">
        <v>-28.6844</v>
      </c>
      <c r="E98" s="1">
        <v>6.8874</v>
      </c>
    </row>
    <row r="99">
      <c r="A99" s="23" t="s">
        <v>471</v>
      </c>
      <c r="B99" s="18">
        <v>0.897399999999971</v>
      </c>
      <c r="C99" s="18">
        <v>57.9749</v>
      </c>
      <c r="D99" s="18">
        <v>-23.7591</v>
      </c>
      <c r="E99" s="18">
        <v>4.8619</v>
      </c>
    </row>
    <row r="100">
      <c r="A100" s="24" t="s">
        <v>472</v>
      </c>
      <c r="B100" s="1">
        <v>0.895979999999973</v>
      </c>
      <c r="C100" s="1">
        <v>66.825</v>
      </c>
      <c r="D100" s="1">
        <v>-14.909</v>
      </c>
      <c r="E100" s="1">
        <v>4.0644</v>
      </c>
    </row>
    <row r="103">
      <c r="A103" s="24" t="s">
        <v>473</v>
      </c>
      <c r="B103" s="1">
        <v>0.944560999999953</v>
      </c>
      <c r="C103" s="1">
        <v>86.8974</v>
      </c>
      <c r="D103" s="1">
        <v>5.1634</v>
      </c>
      <c r="E103" s="1">
        <v>6.0116</v>
      </c>
    </row>
    <row r="104">
      <c r="A104" s="24" t="s">
        <v>474</v>
      </c>
      <c r="B104" s="1">
        <v>0.953583999999946</v>
      </c>
      <c r="C104" s="1">
        <v>87.1532</v>
      </c>
      <c r="D104" s="1">
        <v>5.4192</v>
      </c>
      <c r="E104" s="1">
        <v>6.2741</v>
      </c>
    </row>
    <row r="105">
      <c r="A105" s="24" t="s">
        <v>475</v>
      </c>
      <c r="B105" s="1">
        <v>0.958681999999946</v>
      </c>
      <c r="C105" s="1">
        <v>87.2539</v>
      </c>
      <c r="D105" s="1">
        <v>5.5198</v>
      </c>
      <c r="E105" s="1">
        <v>6.3803</v>
      </c>
    </row>
    <row r="106">
      <c r="A106" s="23" t="s">
        <v>476</v>
      </c>
      <c r="B106" s="18">
        <v>0.960790999999946</v>
      </c>
      <c r="C106" s="18">
        <v>87.5117</v>
      </c>
      <c r="D106" s="18">
        <v>5.7777</v>
      </c>
      <c r="E106" s="18">
        <v>6.658</v>
      </c>
    </row>
    <row r="107">
      <c r="A107" s="24" t="s">
        <v>184</v>
      </c>
      <c r="B107" s="1">
        <v>0.959645999999947</v>
      </c>
      <c r="C107" s="1">
        <v>87.815</v>
      </c>
      <c r="D107" s="1">
        <v>6.081</v>
      </c>
      <c r="E107" s="1">
        <v>6.989</v>
      </c>
    </row>
    <row r="109">
      <c r="A109" s="1" t="s">
        <v>185</v>
      </c>
      <c r="B109" s="1">
        <v>1.0</v>
      </c>
      <c r="C109" s="1">
        <v>2.0</v>
      </c>
      <c r="D109" s="1">
        <v>4.0</v>
      </c>
      <c r="E109" s="1">
        <v>8.0</v>
      </c>
      <c r="F109" s="1">
        <v>16.0</v>
      </c>
      <c r="G109" s="1">
        <v>32.0</v>
      </c>
      <c r="H109" s="1">
        <v>64.0</v>
      </c>
      <c r="I109" s="1">
        <v>128.0</v>
      </c>
      <c r="J109" s="1">
        <v>256.0</v>
      </c>
    </row>
    <row r="110">
      <c r="A110" s="24" t="s">
        <v>464</v>
      </c>
      <c r="B110" s="1">
        <v>2.50999999999999E-4</v>
      </c>
      <c r="C110" s="1">
        <v>0.443586</v>
      </c>
      <c r="D110" s="1">
        <v>0.607149999999996</v>
      </c>
      <c r="E110" s="1">
        <v>0.758097999999992</v>
      </c>
      <c r="F110" s="1">
        <v>0.815154999999984</v>
      </c>
      <c r="G110" s="1">
        <v>0.830243999999986</v>
      </c>
      <c r="H110" s="1">
        <v>0.834117999999986</v>
      </c>
      <c r="I110" s="1">
        <v>0.834812999999987</v>
      </c>
      <c r="J110" s="1">
        <v>0.835017999999986</v>
      </c>
    </row>
    <row r="111">
      <c r="A111" s="24" t="s">
        <v>471</v>
      </c>
      <c r="B111" s="1">
        <v>0.00538299999999998</v>
      </c>
      <c r="C111" s="1">
        <v>0.479354</v>
      </c>
      <c r="D111" s="1">
        <v>0.582632000000001</v>
      </c>
      <c r="E111" s="1">
        <v>0.769000999999991</v>
      </c>
      <c r="F111" s="1">
        <v>0.867337999999981</v>
      </c>
      <c r="G111" s="1">
        <v>0.889784999999974</v>
      </c>
      <c r="H111" s="1">
        <v>0.895478999999975</v>
      </c>
      <c r="I111" s="1">
        <v>0.896891999999969</v>
      </c>
      <c r="J111" s="1">
        <v>0.897242999999972</v>
      </c>
    </row>
    <row r="112">
      <c r="A112" s="24" t="s">
        <v>476</v>
      </c>
      <c r="B112" s="1">
        <v>0.00212100000000003</v>
      </c>
      <c r="C112" s="1">
        <v>0.513272999999997</v>
      </c>
      <c r="D112" s="1">
        <v>0.711714999999995</v>
      </c>
      <c r="E112" s="1">
        <v>0.875367999999981</v>
      </c>
      <c r="F112" s="1">
        <v>0.942955999999949</v>
      </c>
      <c r="G112" s="1">
        <v>0.956737999999943</v>
      </c>
      <c r="H112" s="1">
        <v>0.959750999999943</v>
      </c>
      <c r="I112" s="1">
        <v>0.960591999999942</v>
      </c>
      <c r="J112" s="1">
        <v>0.960707999999945</v>
      </c>
    </row>
    <row r="114">
      <c r="A114" s="1" t="s">
        <v>188</v>
      </c>
      <c r="B114" s="1">
        <v>1.0</v>
      </c>
      <c r="C114" s="1">
        <v>2.0</v>
      </c>
      <c r="D114" s="1">
        <v>4.0</v>
      </c>
      <c r="E114" s="1">
        <v>8.0</v>
      </c>
      <c r="F114" s="1">
        <v>16.0</v>
      </c>
      <c r="G114" s="1">
        <v>32.0</v>
      </c>
      <c r="H114" s="1">
        <v>64.0</v>
      </c>
      <c r="I114" s="1">
        <v>128.0</v>
      </c>
      <c r="J114" s="1">
        <v>256.0</v>
      </c>
    </row>
    <row r="115">
      <c r="A115" s="24" t="s">
        <v>464</v>
      </c>
      <c r="B115" s="2"/>
      <c r="C115" s="1">
        <v>0.342442000000001</v>
      </c>
      <c r="D115" s="1">
        <v>0.383667</v>
      </c>
      <c r="E115" s="1">
        <v>0.528657000000003</v>
      </c>
      <c r="F115" s="1">
        <v>0.764915999999993</v>
      </c>
      <c r="G115" s="1">
        <v>0.814203999999982</v>
      </c>
      <c r="H115" s="1">
        <v>0.831672999999983</v>
      </c>
      <c r="I115" s="1">
        <v>0.835411999999984</v>
      </c>
      <c r="J115" s="1">
        <v>0.836381999999984</v>
      </c>
    </row>
    <row r="116">
      <c r="A116" s="24" t="s">
        <v>178</v>
      </c>
      <c r="B116" s="2"/>
      <c r="C116" s="1"/>
      <c r="D116" s="1"/>
      <c r="E116" s="1"/>
      <c r="F116" s="1"/>
      <c r="G116" s="1"/>
      <c r="H116" s="1"/>
      <c r="I116" s="1"/>
      <c r="J116" s="1"/>
    </row>
    <row r="117">
      <c r="A117" s="24" t="s">
        <v>183</v>
      </c>
      <c r="B117" s="2"/>
      <c r="C117" s="1"/>
      <c r="D117" s="2"/>
      <c r="E117" s="2"/>
      <c r="F117" s="2"/>
      <c r="G117" s="2"/>
      <c r="H117" s="1"/>
      <c r="I117" s="1"/>
      <c r="J117" s="1"/>
    </row>
    <row r="119">
      <c r="A119" s="24" t="s">
        <v>477</v>
      </c>
      <c r="B119" s="1">
        <v>0.889242999999971</v>
      </c>
      <c r="C119" s="1">
        <v>126.2623</v>
      </c>
      <c r="D119" s="1">
        <v>44.5282</v>
      </c>
      <c r="E119" s="1">
        <v>28.2847</v>
      </c>
    </row>
    <row r="120">
      <c r="A120" s="23" t="s">
        <v>344</v>
      </c>
      <c r="B120" s="18">
        <v>0.896450999999978</v>
      </c>
      <c r="C120" s="18">
        <v>78.9582</v>
      </c>
      <c r="D120" s="18">
        <v>-2.7758</v>
      </c>
      <c r="E120" s="18">
        <v>9.0305</v>
      </c>
    </row>
    <row r="121">
      <c r="A121" s="24" t="s">
        <v>463</v>
      </c>
      <c r="B121" s="1">
        <v>0.878180999999979</v>
      </c>
      <c r="C121" s="1">
        <v>66.1666</v>
      </c>
      <c r="D121" s="1">
        <v>-15.5674</v>
      </c>
      <c r="E121" s="1">
        <v>5.0236</v>
      </c>
    </row>
    <row r="123">
      <c r="A123" s="24" t="s">
        <v>478</v>
      </c>
      <c r="B123" s="1">
        <v>0.92781399999996</v>
      </c>
      <c r="C123" s="1">
        <v>82.8553</v>
      </c>
      <c r="D123" s="1">
        <v>1.1213</v>
      </c>
      <c r="E123" s="1">
        <v>2.9657</v>
      </c>
    </row>
    <row r="124">
      <c r="A124" s="24" t="s">
        <v>479</v>
      </c>
      <c r="B124" s="1">
        <v>0.948341999999947</v>
      </c>
      <c r="C124" s="1">
        <v>83.969</v>
      </c>
      <c r="D124" s="1">
        <v>2.235</v>
      </c>
      <c r="E124" s="1">
        <v>3.3881</v>
      </c>
    </row>
    <row r="125">
      <c r="A125" s="23" t="s">
        <v>480</v>
      </c>
      <c r="B125" s="18">
        <v>0.950531999999946</v>
      </c>
      <c r="C125" s="18">
        <v>85.0087</v>
      </c>
      <c r="D125" s="18">
        <v>3.2747</v>
      </c>
      <c r="E125" s="18">
        <v>4.1833</v>
      </c>
    </row>
    <row r="126">
      <c r="A126" s="24" t="s">
        <v>218</v>
      </c>
      <c r="B126" s="1">
        <v>0.944068999999947</v>
      </c>
      <c r="C126" s="1">
        <v>85.5584</v>
      </c>
      <c r="D126" s="1">
        <v>3.8243</v>
      </c>
      <c r="E126" s="1">
        <v>4.7077</v>
      </c>
      <c r="F126" s="1"/>
      <c r="G126" s="1"/>
      <c r="H126" s="1"/>
      <c r="I126" s="1"/>
      <c r="J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>
      <c r="A128" s="1" t="s">
        <v>201</v>
      </c>
      <c r="B128" s="1">
        <v>1.0</v>
      </c>
      <c r="C128" s="1">
        <v>2.0</v>
      </c>
      <c r="D128" s="1">
        <v>4.0</v>
      </c>
      <c r="E128" s="1">
        <v>8.0</v>
      </c>
      <c r="F128" s="1">
        <v>16.0</v>
      </c>
      <c r="G128" s="1">
        <v>32.0</v>
      </c>
      <c r="H128" s="1">
        <v>64.0</v>
      </c>
      <c r="I128" s="1">
        <v>128.0</v>
      </c>
      <c r="J128" s="1">
        <v>256.0</v>
      </c>
    </row>
    <row r="129">
      <c r="A129" s="24" t="s">
        <v>344</v>
      </c>
      <c r="B129" s="2"/>
      <c r="C129" s="1">
        <v>0.337737</v>
      </c>
      <c r="D129" s="1">
        <v>0.490491000000001</v>
      </c>
      <c r="E129" s="1">
        <v>0.596665999999997</v>
      </c>
      <c r="F129" s="1">
        <v>0.826025999999987</v>
      </c>
      <c r="G129" s="1">
        <v>0.878366999999974</v>
      </c>
      <c r="H129" s="1">
        <v>0.892548999999971</v>
      </c>
      <c r="I129" s="1">
        <v>0.895387999999976</v>
      </c>
      <c r="J129" s="1">
        <v>0.896285999999975</v>
      </c>
    </row>
    <row r="130">
      <c r="A130" s="24" t="s">
        <v>178</v>
      </c>
      <c r="B130" s="2"/>
      <c r="C130" s="1"/>
      <c r="D130" s="1"/>
      <c r="E130" s="1"/>
      <c r="F130" s="1"/>
      <c r="G130" s="1"/>
      <c r="H130" s="1"/>
      <c r="I130" s="1"/>
      <c r="J130" s="1"/>
    </row>
    <row r="131">
      <c r="A131" s="24" t="s">
        <v>183</v>
      </c>
      <c r="B131" s="2"/>
      <c r="C131" s="1"/>
      <c r="D131" s="2"/>
      <c r="E131" s="2"/>
      <c r="F131" s="2"/>
      <c r="G131" s="2"/>
      <c r="H131" s="1"/>
      <c r="I131" s="1"/>
      <c r="J131" s="1"/>
    </row>
    <row r="132">
      <c r="E132" s="1">
        <v>0.690683999999995</v>
      </c>
      <c r="F132" s="1">
        <v>0.829596999999985</v>
      </c>
      <c r="G132" s="1">
        <v>0.878369999999977</v>
      </c>
      <c r="H132" s="1">
        <v>0.892548999999971</v>
      </c>
      <c r="I132" s="1">
        <v>0.895387999999976</v>
      </c>
      <c r="J132" s="1">
        <v>0.896285999999975</v>
      </c>
    </row>
    <row r="133">
      <c r="E133" s="1" t="s">
        <v>481</v>
      </c>
      <c r="F133" s="1" t="s">
        <v>482</v>
      </c>
      <c r="G133" s="1" t="s">
        <v>483</v>
      </c>
      <c r="H133" s="1" t="s">
        <v>484</v>
      </c>
      <c r="I133" s="1" t="s">
        <v>484</v>
      </c>
      <c r="J133" s="1" t="s">
        <v>484</v>
      </c>
    </row>
    <row r="135">
      <c r="A135" s="24" t="s">
        <v>485</v>
      </c>
      <c r="B135" s="1">
        <v>0.895663999999974</v>
      </c>
      <c r="C135" s="1">
        <v>102.6053</v>
      </c>
      <c r="D135" s="1">
        <v>20.872</v>
      </c>
      <c r="E135" s="1">
        <v>26.1234</v>
      </c>
    </row>
    <row r="137">
      <c r="A137" s="1" t="s">
        <v>208</v>
      </c>
      <c r="B137" s="2"/>
      <c r="C137" s="2"/>
      <c r="D137" s="2"/>
      <c r="E137" s="2"/>
    </row>
    <row r="138">
      <c r="A138" s="24" t="s">
        <v>486</v>
      </c>
      <c r="B138" s="1">
        <v>0.894844999999971</v>
      </c>
      <c r="C138" s="1">
        <v>115.4337</v>
      </c>
      <c r="D138" s="1">
        <v>33.6997</v>
      </c>
      <c r="E138" s="1">
        <v>28.557</v>
      </c>
    </row>
    <row r="139">
      <c r="A139" s="23" t="s">
        <v>344</v>
      </c>
      <c r="B139" s="18">
        <v>0.908439999999968</v>
      </c>
      <c r="C139" s="18">
        <v>83.6519</v>
      </c>
      <c r="D139" s="18">
        <v>1.9178</v>
      </c>
      <c r="E139" s="18">
        <v>10.5014</v>
      </c>
    </row>
    <row r="140">
      <c r="A140" s="24" t="s">
        <v>487</v>
      </c>
      <c r="B140" s="1">
        <v>0.906119999999968</v>
      </c>
      <c r="C140" s="1">
        <v>73.7091</v>
      </c>
      <c r="D140" s="1">
        <v>-8.025</v>
      </c>
      <c r="E140" s="1">
        <v>5.016</v>
      </c>
    </row>
    <row r="142">
      <c r="A142" s="24" t="s">
        <v>488</v>
      </c>
      <c r="B142" s="1">
        <v>0.963121999999943</v>
      </c>
      <c r="C142" s="1">
        <v>54.4043</v>
      </c>
      <c r="D142" s="1">
        <v>-27.3297</v>
      </c>
      <c r="E142" s="1">
        <v>24.2152</v>
      </c>
    </row>
    <row r="143">
      <c r="A143" s="23" t="s">
        <v>215</v>
      </c>
      <c r="B143" s="18">
        <v>0.965710999999945</v>
      </c>
      <c r="C143" s="18">
        <v>85.2408</v>
      </c>
      <c r="D143" s="18">
        <v>3.5068</v>
      </c>
      <c r="E143" s="18">
        <v>10.3584</v>
      </c>
    </row>
    <row r="144">
      <c r="A144" s="24" t="s">
        <v>489</v>
      </c>
      <c r="B144" s="1">
        <v>0.957206999999949</v>
      </c>
      <c r="C144" s="1">
        <v>93.7315</v>
      </c>
      <c r="D144" s="1">
        <v>11.9975</v>
      </c>
      <c r="E144" s="1">
        <v>5.6389</v>
      </c>
    </row>
    <row r="146">
      <c r="A146" s="24" t="s">
        <v>490</v>
      </c>
      <c r="B146" s="1">
        <v>0.969856999999947</v>
      </c>
      <c r="C146" s="1">
        <v>84.4172</v>
      </c>
      <c r="D146" s="1">
        <v>2.6832</v>
      </c>
      <c r="E146" s="1">
        <v>3.8048</v>
      </c>
    </row>
    <row r="147">
      <c r="A147" s="23" t="s">
        <v>491</v>
      </c>
      <c r="B147" s="18">
        <v>0.973717999999944</v>
      </c>
      <c r="C147" s="18">
        <v>85.4032</v>
      </c>
      <c r="D147" s="18">
        <v>3.6692</v>
      </c>
      <c r="E147" s="18">
        <v>4.5869</v>
      </c>
    </row>
    <row r="148">
      <c r="A148" s="24" t="s">
        <v>492</v>
      </c>
      <c r="B148" s="1">
        <v>0.973556999999944</v>
      </c>
      <c r="C148" s="1">
        <v>86.1072</v>
      </c>
      <c r="D148" s="1">
        <v>4.3687</v>
      </c>
      <c r="E148" s="1">
        <v>5.2443</v>
      </c>
    </row>
    <row r="150">
      <c r="B150" s="1"/>
    </row>
    <row r="151">
      <c r="A151" s="23" t="s">
        <v>214</v>
      </c>
      <c r="B151" s="1">
        <v>1.0</v>
      </c>
      <c r="C151" s="1">
        <v>2.0</v>
      </c>
      <c r="D151" s="1">
        <v>4.0</v>
      </c>
      <c r="E151" s="1">
        <v>8.0</v>
      </c>
      <c r="F151" s="1">
        <v>16.0</v>
      </c>
      <c r="G151" s="1">
        <v>32.0</v>
      </c>
      <c r="H151" s="1">
        <v>64.0</v>
      </c>
      <c r="I151" s="1">
        <v>128.0</v>
      </c>
      <c r="J151" s="1">
        <v>256.0</v>
      </c>
    </row>
    <row r="152">
      <c r="A152" s="1">
        <v>0.0</v>
      </c>
    </row>
    <row r="153">
      <c r="A153" s="1">
        <f>1/64</f>
        <v>0.015625</v>
      </c>
      <c r="G153" s="1" t="s">
        <v>493</v>
      </c>
      <c r="H153" s="1"/>
      <c r="I153" s="17" t="s">
        <v>494</v>
      </c>
      <c r="J153" s="1" t="s">
        <v>495</v>
      </c>
    </row>
    <row r="154">
      <c r="A154" s="1">
        <f>1/32</f>
        <v>0.03125</v>
      </c>
      <c r="G154" s="1" t="s">
        <v>496</v>
      </c>
      <c r="H154" s="1"/>
      <c r="I154" s="17" t="s">
        <v>497</v>
      </c>
      <c r="J154" s="1" t="s">
        <v>498</v>
      </c>
    </row>
    <row r="155">
      <c r="A155" s="2">
        <f>3/64</f>
        <v>0.046875</v>
      </c>
      <c r="H155" s="1" t="s">
        <v>499</v>
      </c>
      <c r="J155" s="1" t="s">
        <v>500</v>
      </c>
    </row>
    <row r="156">
      <c r="A156" s="2">
        <f>1/16</f>
        <v>0.0625</v>
      </c>
      <c r="H156" s="1" t="s">
        <v>501</v>
      </c>
      <c r="J156" s="1" t="s">
        <v>502</v>
      </c>
    </row>
    <row r="157">
      <c r="A157" s="2">
        <f>5/64</f>
        <v>0.078125</v>
      </c>
      <c r="H157" s="1" t="s">
        <v>503</v>
      </c>
      <c r="J157" s="1" t="s">
        <v>504</v>
      </c>
    </row>
    <row r="158">
      <c r="A158" s="2">
        <f>3/32</f>
        <v>0.09375</v>
      </c>
      <c r="H158" s="1" t="s">
        <v>505</v>
      </c>
      <c r="J158" s="1" t="s">
        <v>506</v>
      </c>
    </row>
    <row r="159">
      <c r="A159" s="1">
        <f>7/64</f>
        <v>0.109375</v>
      </c>
      <c r="H159" s="1" t="s">
        <v>507</v>
      </c>
      <c r="J159" s="17" t="s">
        <v>508</v>
      </c>
    </row>
    <row r="160">
      <c r="A160" s="2">
        <f>1/8</f>
        <v>0.125</v>
      </c>
      <c r="H160" s="1" t="s">
        <v>509</v>
      </c>
      <c r="J160" s="17" t="s">
        <v>510</v>
      </c>
    </row>
    <row r="161">
      <c r="A161" s="1">
        <f>9/64</f>
        <v>0.140625</v>
      </c>
      <c r="H161" s="1"/>
      <c r="J161" s="39" t="s">
        <v>511</v>
      </c>
    </row>
    <row r="162">
      <c r="A162" s="1">
        <f>5/32</f>
        <v>0.15625</v>
      </c>
      <c r="H162" s="2"/>
      <c r="J162" s="17" t="s">
        <v>512</v>
      </c>
    </row>
    <row r="163">
      <c r="A163" s="2">
        <f>11/64</f>
        <v>0.171875</v>
      </c>
      <c r="J163" s="17" t="s">
        <v>513</v>
      </c>
    </row>
    <row r="164">
      <c r="A164" s="1">
        <f>3/16</f>
        <v>0.1875</v>
      </c>
    </row>
    <row r="165">
      <c r="A165" s="2">
        <f>13/64</f>
        <v>0.203125</v>
      </c>
    </row>
    <row r="166">
      <c r="A166" s="2">
        <f>7/32</f>
        <v>0.21875</v>
      </c>
    </row>
    <row r="167">
      <c r="A167" s="2">
        <f>15/64</f>
        <v>0.234375</v>
      </c>
    </row>
    <row r="168">
      <c r="A168" s="2">
        <f>1/4</f>
        <v>0.25</v>
      </c>
    </row>
    <row r="170">
      <c r="A170" s="23" t="s">
        <v>214</v>
      </c>
      <c r="B170" s="1">
        <v>1.0</v>
      </c>
      <c r="C170" s="1">
        <v>2.0</v>
      </c>
      <c r="D170" s="1">
        <v>4.0</v>
      </c>
      <c r="E170" s="1">
        <v>8.0</v>
      </c>
      <c r="F170" s="1">
        <v>16.0</v>
      </c>
      <c r="G170" s="1">
        <v>32.0</v>
      </c>
      <c r="H170" s="1">
        <v>64.0</v>
      </c>
      <c r="I170" s="1">
        <v>128.0</v>
      </c>
      <c r="J170" s="1">
        <v>256.0</v>
      </c>
    </row>
    <row r="171">
      <c r="A171" s="1">
        <v>0.0</v>
      </c>
      <c r="B171" s="1"/>
      <c r="C171" s="1">
        <v>0.336499</v>
      </c>
      <c r="D171" s="1">
        <v>0.550641999999999</v>
      </c>
      <c r="E171" s="1">
        <v>0.665549999999998</v>
      </c>
      <c r="F171" s="1">
        <v>0.708239999999997</v>
      </c>
      <c r="G171" s="1">
        <v>0.720940999999991</v>
      </c>
      <c r="H171" s="1">
        <v>0.72455799999999</v>
      </c>
    </row>
    <row r="172">
      <c r="A172" s="1">
        <f>1/64</f>
        <v>0.015625</v>
      </c>
      <c r="B172" s="32"/>
      <c r="C172" s="18" t="s">
        <v>514</v>
      </c>
      <c r="D172" s="18" t="s">
        <v>515</v>
      </c>
      <c r="E172" s="1" t="s">
        <v>516</v>
      </c>
      <c r="F172" s="1" t="s">
        <v>517</v>
      </c>
      <c r="G172" s="1" t="s">
        <v>518</v>
      </c>
      <c r="H172" s="1" t="s">
        <v>519</v>
      </c>
      <c r="J172" s="1"/>
    </row>
    <row r="173">
      <c r="A173" s="1">
        <f>1/32</f>
        <v>0.03125</v>
      </c>
      <c r="C173" s="1" t="s">
        <v>520</v>
      </c>
      <c r="D173" s="1" t="s">
        <v>521</v>
      </c>
      <c r="E173" s="1" t="s">
        <v>522</v>
      </c>
      <c r="F173" s="1" t="s">
        <v>523</v>
      </c>
      <c r="G173" s="1" t="s">
        <v>524</v>
      </c>
      <c r="H173" s="1" t="s">
        <v>525</v>
      </c>
      <c r="J173" s="1"/>
    </row>
    <row r="174">
      <c r="A174" s="2">
        <f>3/64</f>
        <v>0.046875</v>
      </c>
      <c r="C174" s="1" t="s">
        <v>526</v>
      </c>
      <c r="D174" s="17" t="s">
        <v>527</v>
      </c>
      <c r="E174" s="1" t="s">
        <v>528</v>
      </c>
      <c r="F174" s="1" t="s">
        <v>529</v>
      </c>
      <c r="G174" s="1" t="s">
        <v>530</v>
      </c>
      <c r="H174" s="1" t="s">
        <v>531</v>
      </c>
      <c r="J174" s="1"/>
    </row>
    <row r="175">
      <c r="A175" s="2">
        <f>1/16</f>
        <v>0.0625</v>
      </c>
      <c r="C175" s="1" t="s">
        <v>532</v>
      </c>
      <c r="D175" s="1" t="s">
        <v>533</v>
      </c>
      <c r="E175" s="1" t="s">
        <v>534</v>
      </c>
      <c r="F175" s="1" t="s">
        <v>535</v>
      </c>
      <c r="G175" s="1" t="s">
        <v>536</v>
      </c>
      <c r="H175" s="1" t="s">
        <v>537</v>
      </c>
      <c r="J175" s="1"/>
    </row>
    <row r="176">
      <c r="A176" s="2">
        <f>5/64</f>
        <v>0.078125</v>
      </c>
      <c r="C176" s="1" t="s">
        <v>538</v>
      </c>
      <c r="D176" s="17" t="s">
        <v>539</v>
      </c>
      <c r="E176" s="1" t="s">
        <v>540</v>
      </c>
      <c r="F176" s="1" t="s">
        <v>541</v>
      </c>
      <c r="G176" s="1" t="s">
        <v>542</v>
      </c>
      <c r="H176" s="1" t="s">
        <v>543</v>
      </c>
      <c r="J176" s="1"/>
    </row>
    <row r="177">
      <c r="A177" s="2">
        <f>3/32</f>
        <v>0.09375</v>
      </c>
      <c r="C177" s="1" t="s">
        <v>544</v>
      </c>
      <c r="E177" s="1" t="s">
        <v>545</v>
      </c>
      <c r="F177" s="1" t="s">
        <v>546</v>
      </c>
      <c r="G177" s="33" t="s">
        <v>547</v>
      </c>
      <c r="H177" s="1" t="s">
        <v>548</v>
      </c>
      <c r="J177" s="1"/>
    </row>
    <row r="178">
      <c r="A178" s="1">
        <f>7/64</f>
        <v>0.109375</v>
      </c>
      <c r="C178" s="1" t="s">
        <v>549</v>
      </c>
      <c r="E178" s="1" t="s">
        <v>550</v>
      </c>
      <c r="F178" s="1" t="s">
        <v>551</v>
      </c>
      <c r="G178" s="1" t="s">
        <v>552</v>
      </c>
      <c r="H178" s="33" t="s">
        <v>553</v>
      </c>
    </row>
    <row r="179">
      <c r="A179" s="2">
        <f>1/8</f>
        <v>0.125</v>
      </c>
      <c r="C179" s="1" t="s">
        <v>554</v>
      </c>
      <c r="E179" s="1" t="s">
        <v>555</v>
      </c>
      <c r="F179" s="1" t="s">
        <v>556</v>
      </c>
      <c r="G179" s="1" t="s">
        <v>557</v>
      </c>
      <c r="H179" s="1" t="s">
        <v>558</v>
      </c>
    </row>
    <row r="180">
      <c r="A180" s="1">
        <f>9/64</f>
        <v>0.140625</v>
      </c>
      <c r="C180" s="1" t="s">
        <v>559</v>
      </c>
      <c r="E180" s="18" t="s">
        <v>560</v>
      </c>
      <c r="F180" s="1" t="s">
        <v>561</v>
      </c>
      <c r="G180" s="1" t="s">
        <v>562</v>
      </c>
      <c r="H180" s="1" t="s">
        <v>563</v>
      </c>
      <c r="J180" s="39"/>
    </row>
    <row r="181">
      <c r="A181" s="1">
        <f>5/32</f>
        <v>0.15625</v>
      </c>
      <c r="C181" s="1" t="s">
        <v>564</v>
      </c>
      <c r="E181" s="1" t="s">
        <v>565</v>
      </c>
      <c r="F181" s="1" t="s">
        <v>566</v>
      </c>
      <c r="G181" s="1" t="s">
        <v>567</v>
      </c>
      <c r="H181" s="1" t="s">
        <v>568</v>
      </c>
    </row>
    <row r="182">
      <c r="A182" s="2">
        <f>11/64</f>
        <v>0.171875</v>
      </c>
      <c r="C182" s="39" t="s">
        <v>569</v>
      </c>
      <c r="E182" s="1" t="s">
        <v>570</v>
      </c>
      <c r="F182" s="1" t="s">
        <v>571</v>
      </c>
      <c r="G182" s="1" t="s">
        <v>572</v>
      </c>
      <c r="H182" s="1" t="s">
        <v>573</v>
      </c>
    </row>
    <row r="183">
      <c r="A183" s="1">
        <f>3/16</f>
        <v>0.1875</v>
      </c>
      <c r="C183" s="17" t="s">
        <v>574</v>
      </c>
      <c r="F183" s="1" t="s">
        <v>575</v>
      </c>
      <c r="G183" s="1" t="s">
        <v>576</v>
      </c>
      <c r="H183" s="1" t="s">
        <v>577</v>
      </c>
    </row>
    <row r="184">
      <c r="A184" s="2">
        <f>13/64</f>
        <v>0.203125</v>
      </c>
      <c r="C184" s="17" t="s">
        <v>578</v>
      </c>
      <c r="F184" s="1" t="s">
        <v>579</v>
      </c>
      <c r="G184" s="1" t="s">
        <v>580</v>
      </c>
      <c r="H184" s="1" t="s">
        <v>581</v>
      </c>
    </row>
    <row r="185">
      <c r="A185" s="2">
        <f>7/32</f>
        <v>0.21875</v>
      </c>
      <c r="F185" s="18" t="s">
        <v>582</v>
      </c>
      <c r="G185" s="1" t="s">
        <v>583</v>
      </c>
      <c r="H185" s="1" t="s">
        <v>584</v>
      </c>
    </row>
    <row r="186">
      <c r="A186" s="2">
        <f>15/64</f>
        <v>0.234375</v>
      </c>
      <c r="F186" s="1" t="s">
        <v>585</v>
      </c>
      <c r="G186" s="1" t="s">
        <v>586</v>
      </c>
      <c r="H186" s="1" t="s">
        <v>587</v>
      </c>
    </row>
    <row r="187">
      <c r="A187" s="13">
        <f>1/4</f>
        <v>0.25</v>
      </c>
      <c r="B187" s="14"/>
      <c r="C187" s="14"/>
      <c r="D187" s="14"/>
      <c r="E187" s="14"/>
      <c r="F187" s="14"/>
      <c r="G187" s="34" t="s">
        <v>588</v>
      </c>
      <c r="H187" s="34" t="s">
        <v>589</v>
      </c>
    </row>
    <row r="188">
      <c r="A188" s="2">
        <f>17/64</f>
        <v>0.265625</v>
      </c>
      <c r="G188" s="1" t="s">
        <v>590</v>
      </c>
      <c r="H188" s="1" t="s">
        <v>591</v>
      </c>
    </row>
    <row r="190">
      <c r="A190" s="23" t="s">
        <v>373</v>
      </c>
      <c r="B190" s="1">
        <v>1.0</v>
      </c>
      <c r="C190" s="1">
        <v>2.0</v>
      </c>
      <c r="D190" s="1">
        <v>4.0</v>
      </c>
      <c r="E190" s="1">
        <v>8.0</v>
      </c>
      <c r="F190" s="1">
        <v>16.0</v>
      </c>
      <c r="G190" s="1">
        <v>32.0</v>
      </c>
      <c r="H190" s="1">
        <v>64.0</v>
      </c>
    </row>
    <row r="191">
      <c r="A191" s="1">
        <v>0.0</v>
      </c>
      <c r="B191" s="1"/>
      <c r="C191" s="18">
        <v>0.336499</v>
      </c>
      <c r="D191" s="1">
        <v>0.550641999999999</v>
      </c>
      <c r="E191" s="1">
        <v>0.665549999999998</v>
      </c>
      <c r="F191" s="1">
        <v>0.708239999999997</v>
      </c>
      <c r="G191" s="1">
        <v>0.720940999999991</v>
      </c>
      <c r="H191" s="1">
        <v>0.72455799999999</v>
      </c>
    </row>
    <row r="192">
      <c r="A192" s="1">
        <f>1/64</f>
        <v>0.015625</v>
      </c>
      <c r="B192" s="32"/>
      <c r="D192" s="1" t="s">
        <v>592</v>
      </c>
      <c r="E192" s="1" t="s">
        <v>593</v>
      </c>
      <c r="F192" s="1" t="s">
        <v>594</v>
      </c>
      <c r="G192" s="1" t="s">
        <v>595</v>
      </c>
      <c r="H192" s="1" t="s">
        <v>596</v>
      </c>
    </row>
    <row r="193">
      <c r="A193" s="1">
        <f>1/32</f>
        <v>0.03125</v>
      </c>
      <c r="D193" s="1" t="s">
        <v>597</v>
      </c>
      <c r="E193" s="1" t="s">
        <v>598</v>
      </c>
      <c r="F193" s="1" t="s">
        <v>599</v>
      </c>
      <c r="G193" s="1" t="s">
        <v>600</v>
      </c>
      <c r="H193" s="1" t="s">
        <v>601</v>
      </c>
    </row>
    <row r="194">
      <c r="A194" s="2">
        <f>3/64</f>
        <v>0.046875</v>
      </c>
      <c r="D194" s="17" t="s">
        <v>602</v>
      </c>
      <c r="E194" s="1" t="s">
        <v>603</v>
      </c>
      <c r="F194" s="1" t="s">
        <v>604</v>
      </c>
      <c r="G194" s="1" t="s">
        <v>605</v>
      </c>
      <c r="H194" s="1" t="s">
        <v>606</v>
      </c>
    </row>
    <row r="195">
      <c r="A195" s="2">
        <f>1/16</f>
        <v>0.0625</v>
      </c>
      <c r="D195" s="17" t="s">
        <v>607</v>
      </c>
      <c r="E195" s="1" t="s">
        <v>608</v>
      </c>
      <c r="F195" s="1" t="s">
        <v>609</v>
      </c>
      <c r="G195" s="1" t="s">
        <v>610</v>
      </c>
      <c r="H195" s="1" t="s">
        <v>611</v>
      </c>
    </row>
    <row r="196">
      <c r="A196" s="2">
        <f>5/64</f>
        <v>0.078125</v>
      </c>
      <c r="D196" s="39" t="s">
        <v>612</v>
      </c>
      <c r="E196" s="1" t="s">
        <v>613</v>
      </c>
      <c r="F196" s="1" t="s">
        <v>614</v>
      </c>
      <c r="G196" s="1" t="s">
        <v>615</v>
      </c>
      <c r="H196" s="1" t="s">
        <v>616</v>
      </c>
    </row>
    <row r="197">
      <c r="A197" s="2">
        <f>3/32</f>
        <v>0.09375</v>
      </c>
      <c r="D197" s="17" t="s">
        <v>617</v>
      </c>
      <c r="E197" s="1" t="s">
        <v>618</v>
      </c>
      <c r="F197" s="1" t="s">
        <v>619</v>
      </c>
      <c r="G197" s="33" t="s">
        <v>620</v>
      </c>
      <c r="H197" s="1" t="s">
        <v>621</v>
      </c>
    </row>
    <row r="198">
      <c r="A198" s="1">
        <f>7/64</f>
        <v>0.109375</v>
      </c>
      <c r="E198" s="1" t="s">
        <v>622</v>
      </c>
      <c r="F198" s="1" t="s">
        <v>623</v>
      </c>
      <c r="G198" s="1" t="s">
        <v>624</v>
      </c>
      <c r="H198" s="33" t="s">
        <v>625</v>
      </c>
    </row>
    <row r="199">
      <c r="A199" s="2">
        <f>1/8</f>
        <v>0.125</v>
      </c>
      <c r="E199" s="1" t="s">
        <v>626</v>
      </c>
      <c r="F199" s="1" t="s">
        <v>627</v>
      </c>
      <c r="G199" s="1" t="s">
        <v>628</v>
      </c>
      <c r="H199" s="1" t="s">
        <v>629</v>
      </c>
    </row>
    <row r="200">
      <c r="A200" s="1">
        <f>9/64</f>
        <v>0.140625</v>
      </c>
      <c r="E200" s="1" t="s">
        <v>630</v>
      </c>
      <c r="F200" s="1" t="s">
        <v>631</v>
      </c>
      <c r="G200" s="1" t="s">
        <v>632</v>
      </c>
      <c r="H200" s="1" t="s">
        <v>633</v>
      </c>
    </row>
    <row r="201">
      <c r="A201" s="1">
        <f>5/32</f>
        <v>0.15625</v>
      </c>
      <c r="E201" s="1" t="s">
        <v>634</v>
      </c>
      <c r="F201" s="1" t="s">
        <v>635</v>
      </c>
      <c r="G201" s="1"/>
      <c r="H201" s="1" t="s">
        <v>636</v>
      </c>
    </row>
    <row r="202">
      <c r="A202" s="2">
        <f>11/64</f>
        <v>0.171875</v>
      </c>
      <c r="E202" s="1" t="s">
        <v>637</v>
      </c>
      <c r="F202" s="1" t="s">
        <v>638</v>
      </c>
      <c r="G202" s="1"/>
      <c r="H202" s="1" t="s">
        <v>639</v>
      </c>
    </row>
    <row r="203">
      <c r="A203" s="1">
        <f>3/16</f>
        <v>0.1875</v>
      </c>
      <c r="E203" s="1" t="s">
        <v>640</v>
      </c>
      <c r="F203" s="1" t="s">
        <v>641</v>
      </c>
      <c r="G203" s="1"/>
      <c r="H203" s="1" t="s">
        <v>642</v>
      </c>
    </row>
    <row r="204">
      <c r="A204" s="2">
        <f>13/64</f>
        <v>0.203125</v>
      </c>
      <c r="E204" s="18" t="s">
        <v>643</v>
      </c>
      <c r="F204" s="1" t="s">
        <v>644</v>
      </c>
      <c r="G204" s="1"/>
      <c r="H204" s="1" t="s">
        <v>645</v>
      </c>
    </row>
    <row r="205">
      <c r="A205" s="2">
        <f>7/32</f>
        <v>0.21875</v>
      </c>
      <c r="E205" s="1" t="s">
        <v>646</v>
      </c>
      <c r="F205" s="1" t="s">
        <v>647</v>
      </c>
      <c r="G205" s="1"/>
      <c r="H205" s="1" t="s">
        <v>648</v>
      </c>
    </row>
    <row r="206">
      <c r="A206" s="2">
        <f>15/64</f>
        <v>0.234375</v>
      </c>
      <c r="F206" s="1" t="s">
        <v>649</v>
      </c>
      <c r="G206" s="1"/>
      <c r="H206" s="1" t="s">
        <v>650</v>
      </c>
    </row>
    <row r="207">
      <c r="A207" s="2">
        <f>1/4</f>
        <v>0.25</v>
      </c>
      <c r="F207" s="1" t="s">
        <v>651</v>
      </c>
      <c r="G207" s="1" t="s">
        <v>652</v>
      </c>
      <c r="H207" s="1" t="s">
        <v>653</v>
      </c>
    </row>
    <row r="208">
      <c r="A208" s="2">
        <f>17/64</f>
        <v>0.265625</v>
      </c>
      <c r="F208" s="18" t="s">
        <v>654</v>
      </c>
      <c r="G208" s="1" t="s">
        <v>655</v>
      </c>
      <c r="H208" s="1" t="s">
        <v>656</v>
      </c>
    </row>
    <row r="209">
      <c r="A209" s="13">
        <f>9/32</f>
        <v>0.28125</v>
      </c>
      <c r="B209" s="14"/>
      <c r="C209" s="14"/>
      <c r="D209" s="14"/>
      <c r="E209" s="14"/>
      <c r="F209" s="9" t="s">
        <v>657</v>
      </c>
      <c r="G209" s="34" t="s">
        <v>658</v>
      </c>
      <c r="H209" s="34" t="s">
        <v>659</v>
      </c>
    </row>
    <row r="210">
      <c r="A210" s="2">
        <f>19/64</f>
        <v>0.296875</v>
      </c>
      <c r="G210" s="1" t="s">
        <v>660</v>
      </c>
      <c r="H210" s="1" t="s">
        <v>661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4.13"/>
    <col customWidth="1" min="3" max="3" width="33.5"/>
    <col customWidth="1" min="4" max="4" width="37.38"/>
    <col customWidth="1" min="5" max="5" width="33.63"/>
    <col customWidth="1" min="6" max="6" width="31.13"/>
    <col customWidth="1" min="7" max="7" width="30.25"/>
    <col customWidth="1" min="8" max="8" width="43.38"/>
    <col customWidth="1" min="10" max="10" width="41.88"/>
    <col customWidth="1" min="11" max="11" width="17.5"/>
    <col customWidth="1" min="16" max="16" width="23.38"/>
  </cols>
  <sheetData>
    <row r="1">
      <c r="A1" s="1" t="s">
        <v>86</v>
      </c>
    </row>
    <row r="2">
      <c r="A2" s="3" t="s">
        <v>6</v>
      </c>
      <c r="B2" s="1" t="s">
        <v>93</v>
      </c>
      <c r="C2" s="1" t="s">
        <v>8</v>
      </c>
      <c r="D2" s="1" t="s">
        <v>9</v>
      </c>
      <c r="E2" s="1" t="s">
        <v>10</v>
      </c>
    </row>
    <row r="3">
      <c r="A3" s="4" t="s">
        <v>11</v>
      </c>
      <c r="B3" s="1">
        <v>1.0</v>
      </c>
      <c r="C3" s="4">
        <v>82.8243</v>
      </c>
      <c r="D3" s="4">
        <v>82.8243</v>
      </c>
      <c r="E3" s="1">
        <v>6.9924</v>
      </c>
      <c r="F3" s="5" t="s">
        <v>12</v>
      </c>
      <c r="K3" s="21" t="s">
        <v>104</v>
      </c>
      <c r="V3" s="2"/>
      <c r="W3" s="2"/>
    </row>
    <row r="4">
      <c r="A4" s="5" t="s">
        <v>16</v>
      </c>
      <c r="B4" s="1"/>
      <c r="C4" s="1" t="s">
        <v>8</v>
      </c>
      <c r="D4" s="1" t="s">
        <v>14</v>
      </c>
      <c r="E4" s="1" t="s">
        <v>15</v>
      </c>
      <c r="F4" s="5" t="s">
        <v>16</v>
      </c>
      <c r="H4" s="1" t="s">
        <v>8</v>
      </c>
      <c r="I4" s="1" t="s">
        <v>14</v>
      </c>
      <c r="J4" s="1" t="s">
        <v>15</v>
      </c>
      <c r="K4" s="21" t="s">
        <v>105</v>
      </c>
      <c r="M4" s="1" t="s">
        <v>8</v>
      </c>
      <c r="N4" s="1" t="s">
        <v>14</v>
      </c>
      <c r="O4" s="1" t="s">
        <v>15</v>
      </c>
      <c r="P4" s="6" t="s">
        <v>13</v>
      </c>
      <c r="Q4" s="1"/>
      <c r="R4" s="1" t="s">
        <v>8</v>
      </c>
      <c r="S4" s="1" t="s">
        <v>14</v>
      </c>
      <c r="T4" s="1" t="s">
        <v>15</v>
      </c>
      <c r="U4" s="1" t="s">
        <v>106</v>
      </c>
      <c r="V4" s="1" t="s">
        <v>107</v>
      </c>
      <c r="W4" s="2"/>
    </row>
    <row r="5">
      <c r="A5" s="8" t="s">
        <v>18</v>
      </c>
      <c r="B5" s="4">
        <v>0.999995999999999</v>
      </c>
      <c r="C5" s="4">
        <v>79.5652</v>
      </c>
      <c r="D5" s="4">
        <v>-3.2591</v>
      </c>
      <c r="E5" s="4">
        <v>1.1835</v>
      </c>
      <c r="F5" s="8" t="s">
        <v>19</v>
      </c>
      <c r="G5" s="1">
        <v>1.0</v>
      </c>
      <c r="H5" s="4">
        <v>82.8243</v>
      </c>
      <c r="I5" s="1">
        <v>0.0</v>
      </c>
      <c r="J5" s="1">
        <v>0.0</v>
      </c>
      <c r="K5" s="22" t="s">
        <v>19</v>
      </c>
      <c r="L5" s="1">
        <v>0.985657999999944</v>
      </c>
      <c r="M5" s="1">
        <v>83.3951</v>
      </c>
      <c r="N5" s="1">
        <v>0.5707</v>
      </c>
      <c r="O5" s="1">
        <v>1.8226</v>
      </c>
      <c r="P5" s="7">
        <v>100.0</v>
      </c>
      <c r="Q5" s="1">
        <v>0.265783</v>
      </c>
      <c r="R5" s="1">
        <v>82.0491</v>
      </c>
      <c r="S5" s="1">
        <v>-0.7752</v>
      </c>
      <c r="T5" s="1">
        <v>8.932</v>
      </c>
      <c r="U5" s="1">
        <f t="shared" ref="U5:U44" si="1">SQRT(1/(4*P5))*180</f>
        <v>9</v>
      </c>
      <c r="V5" s="1">
        <v>0.534492999999996</v>
      </c>
      <c r="W5" s="1">
        <v>0.616910999999995</v>
      </c>
    </row>
    <row r="6">
      <c r="A6" s="8" t="s">
        <v>21</v>
      </c>
      <c r="B6" s="4">
        <v>0.999985999999999</v>
      </c>
      <c r="C6" s="4">
        <v>79.0845</v>
      </c>
      <c r="D6" s="4">
        <v>-3.7398</v>
      </c>
      <c r="E6" s="4">
        <v>1.2618</v>
      </c>
      <c r="F6" s="8" t="s">
        <v>22</v>
      </c>
      <c r="G6" s="1">
        <v>1.0</v>
      </c>
      <c r="H6" s="4">
        <v>82.8243</v>
      </c>
      <c r="I6" s="1">
        <v>0.0</v>
      </c>
      <c r="J6" s="1">
        <v>0.0</v>
      </c>
      <c r="K6" s="22" t="s">
        <v>22</v>
      </c>
      <c r="L6" s="1">
        <v>0.979830999999944</v>
      </c>
      <c r="M6" s="1">
        <v>83.4623</v>
      </c>
      <c r="N6" s="1">
        <v>0.6379</v>
      </c>
      <c r="O6" s="1">
        <v>1.9554</v>
      </c>
      <c r="P6" s="7">
        <v>200.0</v>
      </c>
      <c r="Q6" s="1">
        <v>0.492055999999996</v>
      </c>
      <c r="R6" s="1">
        <v>82.3115</v>
      </c>
      <c r="S6" s="1">
        <v>-0.5129</v>
      </c>
      <c r="T6" s="1">
        <v>6.2918</v>
      </c>
      <c r="U6" s="1">
        <f t="shared" si="1"/>
        <v>6.363961031</v>
      </c>
      <c r="V6" s="1">
        <v>0.656008999999994</v>
      </c>
      <c r="W6" s="1">
        <v>0.836375999999983</v>
      </c>
    </row>
    <row r="7">
      <c r="A7" s="8" t="s">
        <v>24</v>
      </c>
      <c r="B7" s="4">
        <v>0.999949999999999</v>
      </c>
      <c r="C7" s="4">
        <v>78.4515</v>
      </c>
      <c r="D7" s="4">
        <v>-4.3728</v>
      </c>
      <c r="E7" s="4">
        <v>1.3551</v>
      </c>
      <c r="F7" s="8" t="s">
        <v>25</v>
      </c>
      <c r="G7" s="1">
        <v>1.0</v>
      </c>
      <c r="H7" s="4">
        <v>82.8243</v>
      </c>
      <c r="I7" s="1">
        <v>0.0</v>
      </c>
      <c r="J7" s="1">
        <v>0.0</v>
      </c>
      <c r="K7" s="22" t="s">
        <v>25</v>
      </c>
      <c r="L7" s="1">
        <v>0.970667999999943</v>
      </c>
      <c r="M7" s="1">
        <v>83.561</v>
      </c>
      <c r="N7" s="1">
        <v>0.7367</v>
      </c>
      <c r="O7" s="1">
        <v>2.1211</v>
      </c>
      <c r="P7" s="7">
        <v>300.0</v>
      </c>
      <c r="Q7" s="1">
        <v>0.628850999999995</v>
      </c>
      <c r="R7" s="1">
        <v>82.0148</v>
      </c>
      <c r="S7" s="1">
        <v>-0.8095</v>
      </c>
      <c r="T7" s="1">
        <v>5.1497</v>
      </c>
      <c r="U7" s="1">
        <f t="shared" si="1"/>
        <v>5.196152423</v>
      </c>
      <c r="V7" s="1">
        <v>0.70615599999999</v>
      </c>
      <c r="W7" s="1">
        <v>0.917830999999972</v>
      </c>
    </row>
    <row r="8">
      <c r="A8" s="8" t="s">
        <v>27</v>
      </c>
      <c r="B8" s="4">
        <v>0.999795999999996</v>
      </c>
      <c r="C8" s="4">
        <v>77.583</v>
      </c>
      <c r="D8" s="4">
        <v>-5.2414</v>
      </c>
      <c r="E8" s="4">
        <v>1.4687</v>
      </c>
      <c r="F8" s="8" t="s">
        <v>28</v>
      </c>
      <c r="G8" s="1">
        <v>1.0</v>
      </c>
      <c r="H8" s="4">
        <v>82.8243</v>
      </c>
      <c r="I8" s="1">
        <v>0.0</v>
      </c>
      <c r="J8" s="1">
        <v>0.0</v>
      </c>
      <c r="K8" s="22" t="s">
        <v>28</v>
      </c>
      <c r="L8" s="1">
        <v>0.955615999999953</v>
      </c>
      <c r="M8" s="1">
        <v>83.7191</v>
      </c>
      <c r="N8" s="1">
        <v>0.8948</v>
      </c>
      <c r="O8" s="1">
        <v>2.3398</v>
      </c>
      <c r="P8" s="7">
        <v>400.0</v>
      </c>
      <c r="Q8" s="1">
        <v>0.71743899999999</v>
      </c>
      <c r="R8" s="1">
        <v>82.6718</v>
      </c>
      <c r="S8" s="1">
        <v>-0.1526</v>
      </c>
      <c r="T8" s="1">
        <v>4.4637</v>
      </c>
      <c r="U8" s="1">
        <f t="shared" si="1"/>
        <v>4.5</v>
      </c>
      <c r="V8" s="1">
        <v>0.73290999999999</v>
      </c>
      <c r="W8" s="1">
        <v>0.951233999999964</v>
      </c>
    </row>
    <row r="9">
      <c r="A9" s="8" t="s">
        <v>30</v>
      </c>
      <c r="B9" s="4">
        <v>0.999121999999989</v>
      </c>
      <c r="C9" s="4">
        <v>76.3212</v>
      </c>
      <c r="D9" s="4">
        <v>-6.5032</v>
      </c>
      <c r="E9" s="4">
        <v>1.6116</v>
      </c>
      <c r="F9" s="8" t="s">
        <v>31</v>
      </c>
      <c r="G9" s="1">
        <v>1.0</v>
      </c>
      <c r="H9" s="4">
        <v>82.8243</v>
      </c>
      <c r="I9" s="1">
        <v>0.0</v>
      </c>
      <c r="J9" s="1">
        <v>0.0</v>
      </c>
      <c r="K9" s="22" t="s">
        <v>31</v>
      </c>
      <c r="L9" s="1">
        <v>0.928016999999962</v>
      </c>
      <c r="M9" s="1">
        <v>83.94</v>
      </c>
      <c r="N9" s="1">
        <v>1.1157</v>
      </c>
      <c r="O9" s="1">
        <v>2.6351</v>
      </c>
      <c r="P9" s="7">
        <v>500.0</v>
      </c>
      <c r="Q9" s="1">
        <v>0.786128999999987</v>
      </c>
      <c r="R9" s="1">
        <v>83.0305</v>
      </c>
      <c r="S9" s="1">
        <v>0.2061</v>
      </c>
      <c r="T9" s="1">
        <v>3.9965</v>
      </c>
      <c r="U9" s="1">
        <f t="shared" si="1"/>
        <v>4.024922359</v>
      </c>
      <c r="V9" s="1">
        <v>0.745834999999993</v>
      </c>
      <c r="W9" s="1">
        <v>0.970066999999953</v>
      </c>
    </row>
    <row r="10">
      <c r="A10" s="8" t="s">
        <v>33</v>
      </c>
      <c r="B10" s="4">
        <v>0.99601899999997</v>
      </c>
      <c r="C10" s="4">
        <v>74.3062</v>
      </c>
      <c r="D10" s="4">
        <v>-8.5181</v>
      </c>
      <c r="E10" s="4">
        <v>1.8079</v>
      </c>
      <c r="F10" s="8" t="s">
        <v>34</v>
      </c>
      <c r="G10" s="1">
        <v>1.0</v>
      </c>
      <c r="H10" s="4">
        <v>82.8243</v>
      </c>
      <c r="I10" s="1">
        <v>0.0</v>
      </c>
      <c r="J10" s="1">
        <v>0.0</v>
      </c>
      <c r="K10" s="22" t="s">
        <v>34</v>
      </c>
      <c r="L10" s="1">
        <v>0.87347699999998</v>
      </c>
      <c r="M10" s="1">
        <v>84.2744</v>
      </c>
      <c r="N10" s="1">
        <v>1.45</v>
      </c>
      <c r="O10" s="1">
        <v>3.0658</v>
      </c>
      <c r="P10" s="7">
        <v>600.0</v>
      </c>
      <c r="Q10" s="1">
        <v>0.828752999999983</v>
      </c>
      <c r="R10" s="1">
        <v>82.0777</v>
      </c>
      <c r="S10" s="1">
        <v>0.7466</v>
      </c>
      <c r="T10" s="1">
        <v>3.6333</v>
      </c>
      <c r="U10" s="1">
        <f t="shared" si="1"/>
        <v>3.674234614</v>
      </c>
      <c r="V10" s="1">
        <v>0.757768999999988</v>
      </c>
      <c r="W10" s="1">
        <v>0.980121999999952</v>
      </c>
    </row>
    <row r="11">
      <c r="A11" s="8" t="s">
        <v>36</v>
      </c>
      <c r="B11" s="4">
        <v>0.981447999999948</v>
      </c>
      <c r="C11" s="4">
        <v>70.5942</v>
      </c>
      <c r="D11" s="4">
        <v>-12.2301</v>
      </c>
      <c r="E11" s="4">
        <v>2.1055</v>
      </c>
      <c r="F11" s="8" t="s">
        <v>37</v>
      </c>
      <c r="G11" s="1">
        <v>1.0</v>
      </c>
      <c r="H11" s="4">
        <v>82.8243</v>
      </c>
      <c r="I11" s="1">
        <v>0.0</v>
      </c>
      <c r="J11" s="1">
        <v>0.0</v>
      </c>
      <c r="K11" s="22" t="s">
        <v>37</v>
      </c>
      <c r="L11" s="1">
        <v>0.749939999999992</v>
      </c>
      <c r="M11" s="1">
        <v>84.828</v>
      </c>
      <c r="N11" s="1">
        <v>2.0037</v>
      </c>
      <c r="O11" s="1">
        <v>3.7679</v>
      </c>
      <c r="P11" s="7">
        <v>700.0</v>
      </c>
      <c r="Q11" s="1">
        <v>0.867992999999979</v>
      </c>
      <c r="R11" s="1">
        <v>82.9474</v>
      </c>
      <c r="S11" s="1">
        <v>0.1231</v>
      </c>
      <c r="T11" s="1">
        <v>3.3487</v>
      </c>
      <c r="U11" s="1">
        <f t="shared" si="1"/>
        <v>3.401680257</v>
      </c>
      <c r="V11" s="1">
        <v>0.763532999999993</v>
      </c>
      <c r="W11" s="1">
        <v>0.988299999999951</v>
      </c>
    </row>
    <row r="12">
      <c r="A12" s="8" t="s">
        <v>108</v>
      </c>
      <c r="B12" s="4">
        <v>0.884502999999979</v>
      </c>
      <c r="C12" s="4">
        <v>61.4742</v>
      </c>
      <c r="D12" s="4">
        <v>-21.3502</v>
      </c>
      <c r="E12" s="4">
        <v>2.8462</v>
      </c>
      <c r="F12" s="8" t="s">
        <v>109</v>
      </c>
      <c r="G12" s="1">
        <v>1.0</v>
      </c>
      <c r="H12" s="4">
        <v>82.8243</v>
      </c>
      <c r="I12" s="1">
        <v>0.0</v>
      </c>
      <c r="J12" s="1">
        <v>0.0</v>
      </c>
      <c r="K12" s="22" t="s">
        <v>109</v>
      </c>
      <c r="L12" s="1">
        <v>0.398688999999997</v>
      </c>
      <c r="M12" s="1">
        <v>85.9562</v>
      </c>
      <c r="N12" s="1">
        <v>3.1319</v>
      </c>
      <c r="O12" s="1">
        <v>5.37</v>
      </c>
      <c r="P12" s="7">
        <v>800.0</v>
      </c>
      <c r="Q12" s="1">
        <v>0.892484999999977</v>
      </c>
      <c r="R12" s="1">
        <v>83.0126</v>
      </c>
      <c r="S12" s="1">
        <v>0.1882</v>
      </c>
      <c r="T12" s="1">
        <v>3.1896</v>
      </c>
      <c r="U12" s="1">
        <f t="shared" si="1"/>
        <v>3.181980515</v>
      </c>
      <c r="V12" s="1">
        <v>0.767196999999991</v>
      </c>
      <c r="W12" s="1">
        <v>0.991539999999951</v>
      </c>
    </row>
    <row r="13">
      <c r="A13" s="8" t="s">
        <v>39</v>
      </c>
      <c r="B13" s="4">
        <v>0.999853999999997</v>
      </c>
      <c r="C13" s="4">
        <v>86.0599</v>
      </c>
      <c r="D13" s="4">
        <v>3.2356</v>
      </c>
      <c r="E13" s="4">
        <v>1.1773</v>
      </c>
      <c r="F13" s="10" t="s">
        <v>40</v>
      </c>
      <c r="G13" s="4"/>
      <c r="H13" s="11"/>
      <c r="I13" s="11"/>
      <c r="J13" s="11"/>
      <c r="K13" s="21" t="s">
        <v>110</v>
      </c>
      <c r="M13" s="1" t="s">
        <v>8</v>
      </c>
      <c r="N13" s="1" t="s">
        <v>14</v>
      </c>
      <c r="O13" s="1" t="s">
        <v>15</v>
      </c>
      <c r="P13" s="7">
        <v>900.0</v>
      </c>
      <c r="Q13" s="1">
        <v>0.913566999999973</v>
      </c>
      <c r="R13" s="1">
        <v>82.9981</v>
      </c>
      <c r="S13" s="1">
        <v>0.1737</v>
      </c>
      <c r="T13" s="1">
        <v>2.9746</v>
      </c>
      <c r="U13" s="1">
        <f t="shared" si="1"/>
        <v>3</v>
      </c>
      <c r="V13" s="1">
        <v>0.775050999999988</v>
      </c>
      <c r="W13" s="1">
        <v>0.994463999999957</v>
      </c>
    </row>
    <row r="14">
      <c r="A14" s="8" t="s">
        <v>42</v>
      </c>
      <c r="B14" s="4">
        <v>0.999817999999997</v>
      </c>
      <c r="C14" s="4">
        <v>86.5333</v>
      </c>
      <c r="D14" s="4">
        <v>3.709</v>
      </c>
      <c r="E14" s="4">
        <v>1.2539</v>
      </c>
      <c r="F14" s="12" t="s">
        <v>19</v>
      </c>
      <c r="G14" s="1">
        <v>0.993893999999961</v>
      </c>
      <c r="H14" s="1">
        <v>82.521</v>
      </c>
      <c r="I14" s="1">
        <v>-0.3033</v>
      </c>
      <c r="J14" s="1">
        <v>1.9755</v>
      </c>
      <c r="K14" s="22" t="s">
        <v>19</v>
      </c>
      <c r="L14" s="1">
        <v>0.991486999999955</v>
      </c>
      <c r="M14" s="1">
        <v>82.9977</v>
      </c>
      <c r="N14" s="1">
        <v>0.1734</v>
      </c>
      <c r="O14" s="1">
        <v>1.8224</v>
      </c>
      <c r="P14" s="7">
        <v>1000.0</v>
      </c>
      <c r="Q14" s="1">
        <v>0.92720699999997</v>
      </c>
      <c r="R14" s="1">
        <v>83.4802</v>
      </c>
      <c r="S14" s="1">
        <v>0.6558</v>
      </c>
      <c r="T14" s="1">
        <v>2.8486</v>
      </c>
      <c r="U14" s="1">
        <f t="shared" si="1"/>
        <v>2.846049894</v>
      </c>
      <c r="V14" s="1">
        <v>0.776455999999988</v>
      </c>
      <c r="W14" s="1">
        <v>0.996414999999964</v>
      </c>
    </row>
    <row r="15">
      <c r="A15" s="8" t="s">
        <v>44</v>
      </c>
      <c r="B15" s="4">
        <v>0.999738999999995</v>
      </c>
      <c r="C15" s="4">
        <v>87.1551</v>
      </c>
      <c r="D15" s="4">
        <v>4.3308</v>
      </c>
      <c r="E15" s="4">
        <v>1.3446</v>
      </c>
      <c r="F15" s="12" t="s">
        <v>22</v>
      </c>
      <c r="G15" s="1">
        <v>0.989501999999952</v>
      </c>
      <c r="H15" s="1">
        <v>82.446</v>
      </c>
      <c r="I15" s="1">
        <v>-0.3783</v>
      </c>
      <c r="J15" s="1">
        <v>2.1733</v>
      </c>
      <c r="K15" s="22" t="s">
        <v>22</v>
      </c>
      <c r="L15" s="1">
        <v>0.98702699999995</v>
      </c>
      <c r="M15" s="1">
        <v>83.0077</v>
      </c>
      <c r="N15" s="1">
        <v>0.1834</v>
      </c>
      <c r="O15" s="1">
        <v>1.9668</v>
      </c>
      <c r="P15" s="7">
        <v>1100.0</v>
      </c>
      <c r="Q15" s="1">
        <v>0.940021999999965</v>
      </c>
      <c r="R15" s="1">
        <v>83.1925</v>
      </c>
      <c r="S15" s="1">
        <v>0.3682</v>
      </c>
      <c r="T15" s="1">
        <v>2.6862</v>
      </c>
      <c r="U15" s="1">
        <f t="shared" si="1"/>
        <v>2.713602101</v>
      </c>
      <c r="V15" s="1">
        <v>0.777274999999987</v>
      </c>
      <c r="W15" s="1">
        <v>0.997510999999971</v>
      </c>
    </row>
    <row r="16">
      <c r="A16" s="8" t="s">
        <v>45</v>
      </c>
      <c r="B16" s="4">
        <v>0.999607999999993</v>
      </c>
      <c r="C16" s="4">
        <v>88.0056</v>
      </c>
      <c r="D16" s="4">
        <v>5.1812</v>
      </c>
      <c r="E16" s="4">
        <v>1.4543</v>
      </c>
      <c r="F16" s="12" t="s">
        <v>25</v>
      </c>
      <c r="G16" s="1">
        <v>0.981338999999945</v>
      </c>
      <c r="H16" s="1">
        <v>82.3506</v>
      </c>
      <c r="I16" s="1">
        <v>-0.4738</v>
      </c>
      <c r="J16" s="1">
        <v>2.4378</v>
      </c>
      <c r="K16" s="22" t="s">
        <v>25</v>
      </c>
      <c r="L16" s="1">
        <v>0.979491999999945</v>
      </c>
      <c r="M16" s="1">
        <v>83.0316</v>
      </c>
      <c r="N16" s="1">
        <v>0.2073</v>
      </c>
      <c r="O16" s="1">
        <v>2.1493</v>
      </c>
      <c r="P16" s="7">
        <v>1200.0</v>
      </c>
      <c r="Q16" s="1">
        <v>0.94862199999996</v>
      </c>
      <c r="R16" s="1">
        <v>82.6627</v>
      </c>
      <c r="S16" s="1">
        <v>-0.1616</v>
      </c>
      <c r="T16" s="1">
        <v>2.5594</v>
      </c>
      <c r="U16" s="1">
        <f t="shared" si="1"/>
        <v>2.598076211</v>
      </c>
      <c r="V16" s="1">
        <v>0.78223799999999</v>
      </c>
      <c r="W16" s="1">
        <v>0.997996999999975</v>
      </c>
    </row>
    <row r="17">
      <c r="A17" s="8" t="s">
        <v>46</v>
      </c>
      <c r="B17" s="4">
        <v>0.99937899999999</v>
      </c>
      <c r="C17" s="4">
        <v>89.2353</v>
      </c>
      <c r="D17" s="4">
        <v>6.411</v>
      </c>
      <c r="E17" s="4">
        <v>1.5913</v>
      </c>
      <c r="F17" s="12" t="s">
        <v>28</v>
      </c>
      <c r="G17" s="1">
        <v>0.965468999999954</v>
      </c>
      <c r="H17" s="1">
        <v>82.2303</v>
      </c>
      <c r="I17" s="1">
        <v>-0.594</v>
      </c>
      <c r="J17" s="1">
        <v>2.817</v>
      </c>
      <c r="K17" s="22" t="s">
        <v>28</v>
      </c>
      <c r="L17" s="1">
        <v>0.96597799999995</v>
      </c>
      <c r="M17" s="1">
        <v>83.0892</v>
      </c>
      <c r="N17" s="1">
        <v>0.2649</v>
      </c>
      <c r="O17" s="1">
        <v>2.3931</v>
      </c>
      <c r="P17" s="7">
        <v>1300.0</v>
      </c>
      <c r="Q17" s="1">
        <v>0.957598999999955</v>
      </c>
      <c r="R17" s="1">
        <v>82.5926</v>
      </c>
      <c r="S17" s="1">
        <v>-0.2317</v>
      </c>
      <c r="T17" s="1">
        <v>2.4686</v>
      </c>
      <c r="U17" s="1">
        <f t="shared" si="1"/>
        <v>2.496150883</v>
      </c>
      <c r="V17" s="1">
        <v>0.784334999999987</v>
      </c>
      <c r="W17" s="1">
        <v>0.998630999999981</v>
      </c>
    </row>
    <row r="18">
      <c r="A18" s="8" t="s">
        <v>47</v>
      </c>
      <c r="B18" s="4">
        <v>0.998977999999985</v>
      </c>
      <c r="C18" s="4">
        <v>91.1849</v>
      </c>
      <c r="D18" s="4">
        <v>8.3606</v>
      </c>
      <c r="E18" s="4">
        <v>1.7777</v>
      </c>
      <c r="F18" s="12" t="s">
        <v>31</v>
      </c>
      <c r="G18" s="1">
        <v>0.932180999999966</v>
      </c>
      <c r="H18" s="1">
        <v>82.0109</v>
      </c>
      <c r="I18" s="1">
        <v>-0.8134</v>
      </c>
      <c r="J18" s="1">
        <v>3.4246</v>
      </c>
      <c r="K18" s="22" t="s">
        <v>31</v>
      </c>
      <c r="L18" s="1">
        <v>0.940027999999959</v>
      </c>
      <c r="M18" s="1">
        <v>83.1663</v>
      </c>
      <c r="N18" s="1">
        <v>0.342</v>
      </c>
      <c r="O18" s="1">
        <v>2.736</v>
      </c>
      <c r="P18" s="7">
        <v>1400.0</v>
      </c>
      <c r="Q18" s="1">
        <v>0.964106999999953</v>
      </c>
      <c r="R18" s="1">
        <v>83.0012</v>
      </c>
      <c r="S18" s="1">
        <v>0.1768</v>
      </c>
      <c r="T18" s="1">
        <v>2.3709</v>
      </c>
      <c r="U18" s="1">
        <f t="shared" si="1"/>
        <v>2.405351177</v>
      </c>
      <c r="V18" s="1">
        <v>0.784604999999986</v>
      </c>
      <c r="W18" s="1">
        <v>0.999027999999985</v>
      </c>
    </row>
    <row r="19">
      <c r="A19" s="8" t="s">
        <v>48</v>
      </c>
      <c r="B19" s="4">
        <v>0.998055999999975</v>
      </c>
      <c r="C19" s="4">
        <v>94.7297</v>
      </c>
      <c r="D19" s="4">
        <v>11.9053</v>
      </c>
      <c r="E19" s="4">
        <v>2.0561</v>
      </c>
      <c r="F19" s="12" t="s">
        <v>34</v>
      </c>
      <c r="G19" s="1">
        <v>0.855274999999979</v>
      </c>
      <c r="H19" s="1">
        <v>81.5309</v>
      </c>
      <c r="I19" s="1">
        <v>-1.2935</v>
      </c>
      <c r="J19" s="1">
        <v>4.5999</v>
      </c>
      <c r="K19" s="22" t="s">
        <v>34</v>
      </c>
      <c r="L19" s="1">
        <v>0.885102999999978</v>
      </c>
      <c r="M19" s="1">
        <v>83.2783</v>
      </c>
      <c r="N19" s="1">
        <v>0.454</v>
      </c>
      <c r="O19" s="1">
        <v>3.2667</v>
      </c>
      <c r="P19" s="7">
        <v>1500.0</v>
      </c>
      <c r="Q19" s="1">
        <v>0.968069999999948</v>
      </c>
      <c r="R19" s="1">
        <v>82.3912</v>
      </c>
      <c r="S19" s="1">
        <v>-0.4331</v>
      </c>
      <c r="T19" s="1">
        <v>2.3304</v>
      </c>
      <c r="U19" s="1">
        <f t="shared" si="1"/>
        <v>2.323790008</v>
      </c>
      <c r="V19" s="1">
        <v>0.787438999999986</v>
      </c>
      <c r="W19" s="1">
        <v>0.99939499999999</v>
      </c>
    </row>
    <row r="20">
      <c r="A20" s="8" t="s">
        <v>111</v>
      </c>
      <c r="B20" s="4">
        <v>0.994556999999958</v>
      </c>
      <c r="C20" s="4">
        <v>103.1614</v>
      </c>
      <c r="D20" s="4">
        <v>20.3371</v>
      </c>
      <c r="E20" s="4">
        <v>2.7204</v>
      </c>
      <c r="F20" s="12" t="s">
        <v>37</v>
      </c>
      <c r="G20" s="1">
        <v>0.00169099999999998</v>
      </c>
      <c r="H20" s="1" t="s">
        <v>49</v>
      </c>
      <c r="I20" s="1" t="s">
        <v>49</v>
      </c>
      <c r="J20" s="1" t="s">
        <v>49</v>
      </c>
      <c r="K20" s="22" t="s">
        <v>37</v>
      </c>
      <c r="L20" s="1">
        <v>0.755633999999989</v>
      </c>
      <c r="M20" s="1">
        <v>83.4401</v>
      </c>
      <c r="N20" s="1">
        <v>0.6158</v>
      </c>
      <c r="O20" s="1">
        <v>4.2384</v>
      </c>
      <c r="P20" s="7">
        <v>1600.0</v>
      </c>
      <c r="Q20" s="1">
        <v>0.974064999999947</v>
      </c>
      <c r="R20" s="1">
        <v>82.977</v>
      </c>
      <c r="S20" s="1">
        <v>0.1527</v>
      </c>
      <c r="T20" s="1">
        <v>2.2526</v>
      </c>
      <c r="U20" s="1">
        <f t="shared" si="1"/>
        <v>2.25</v>
      </c>
      <c r="V20" s="1">
        <v>0.787629999999986</v>
      </c>
      <c r="W20" s="1">
        <v>0.999502999999992</v>
      </c>
    </row>
    <row r="21">
      <c r="A21" s="10" t="s">
        <v>40</v>
      </c>
      <c r="B21" s="4"/>
      <c r="C21" s="11"/>
      <c r="D21" s="11"/>
      <c r="E21" s="11"/>
      <c r="F21" s="12" t="s">
        <v>109</v>
      </c>
      <c r="G21" s="1">
        <v>8.43999999999986E-4</v>
      </c>
      <c r="H21" s="1" t="s">
        <v>49</v>
      </c>
      <c r="I21" s="1" t="s">
        <v>49</v>
      </c>
      <c r="J21" s="1" t="s">
        <v>49</v>
      </c>
      <c r="K21" s="22" t="s">
        <v>109</v>
      </c>
      <c r="L21" s="1">
        <v>0.398620999999997</v>
      </c>
      <c r="M21" s="1">
        <v>83.9602</v>
      </c>
      <c r="N21" s="1">
        <v>0.8659</v>
      </c>
      <c r="O21" s="1">
        <v>7.0808</v>
      </c>
      <c r="P21" s="7">
        <v>1700.0</v>
      </c>
      <c r="Q21" s="1">
        <v>0.977581999999944</v>
      </c>
      <c r="R21" s="1">
        <v>82.974</v>
      </c>
      <c r="S21" s="1">
        <v>0.1497</v>
      </c>
      <c r="T21" s="1">
        <v>2.1687</v>
      </c>
      <c r="U21" s="1">
        <f t="shared" si="1"/>
        <v>2.182820625</v>
      </c>
      <c r="V21" s="1">
        <v>0.788797999999985</v>
      </c>
      <c r="W21" s="1">
        <v>0.999634999999994</v>
      </c>
    </row>
    <row r="22">
      <c r="A22" s="12" t="s">
        <v>18</v>
      </c>
      <c r="B22" s="4">
        <v>0.989927999999957</v>
      </c>
      <c r="C22" s="4">
        <v>73.3049</v>
      </c>
      <c r="D22" s="4">
        <v>-9.5194</v>
      </c>
      <c r="E22" s="4">
        <v>2.669</v>
      </c>
      <c r="F22" s="15" t="s">
        <v>50</v>
      </c>
      <c r="K22" s="21" t="s">
        <v>112</v>
      </c>
      <c r="M22" s="1" t="s">
        <v>8</v>
      </c>
      <c r="N22" s="1" t="s">
        <v>14</v>
      </c>
      <c r="O22" s="1" t="s">
        <v>15</v>
      </c>
      <c r="P22" s="7">
        <v>1800.0</v>
      </c>
      <c r="Q22" s="1">
        <v>0.979704999999946</v>
      </c>
      <c r="R22" s="1">
        <v>82.5647</v>
      </c>
      <c r="S22" s="1">
        <v>-0.2597</v>
      </c>
      <c r="T22" s="1">
        <v>2.1217</v>
      </c>
      <c r="U22" s="1">
        <f t="shared" si="1"/>
        <v>2.121320344</v>
      </c>
      <c r="V22" s="1">
        <v>0.790332999999987</v>
      </c>
      <c r="W22" s="1">
        <v>0.999696999999995</v>
      </c>
    </row>
    <row r="23">
      <c r="A23" s="12" t="s">
        <v>21</v>
      </c>
      <c r="B23" s="4">
        <v>0.980680999999959</v>
      </c>
      <c r="C23" s="4">
        <v>71.8394</v>
      </c>
      <c r="D23" s="4">
        <v>-10.985</v>
      </c>
      <c r="E23" s="4">
        <v>2.8434</v>
      </c>
      <c r="F23" s="16" t="s">
        <v>51</v>
      </c>
      <c r="G23" s="4">
        <v>0.677124999999992</v>
      </c>
      <c r="H23" s="4">
        <v>79.9851</v>
      </c>
      <c r="I23" s="4">
        <v>-2.8393</v>
      </c>
      <c r="J23" s="4">
        <v>7.8109</v>
      </c>
      <c r="K23" s="22" t="s">
        <v>19</v>
      </c>
      <c r="L23" s="1">
        <v>0.991890999999956</v>
      </c>
      <c r="M23" s="1">
        <v>78.9985</v>
      </c>
      <c r="N23" s="1">
        <v>-3.8258</v>
      </c>
      <c r="O23" s="1">
        <v>2.1098</v>
      </c>
      <c r="P23" s="7">
        <v>1900.0</v>
      </c>
      <c r="Q23" s="1">
        <v>0.983380999999943</v>
      </c>
      <c r="R23" s="1">
        <v>82.5451</v>
      </c>
      <c r="S23" s="1">
        <v>-0.2792</v>
      </c>
      <c r="T23" s="1">
        <v>2.0559</v>
      </c>
      <c r="U23" s="1">
        <f t="shared" si="1"/>
        <v>2.064741605</v>
      </c>
      <c r="V23" s="1">
        <v>0.791719999999985</v>
      </c>
      <c r="W23" s="1">
        <v>0.999831999999997</v>
      </c>
    </row>
    <row r="24">
      <c r="A24" s="12" t="s">
        <v>24</v>
      </c>
      <c r="B24" s="4">
        <v>0.96403599999996</v>
      </c>
      <c r="C24" s="4">
        <v>69.8726</v>
      </c>
      <c r="D24" s="4">
        <v>-12.9517</v>
      </c>
      <c r="E24" s="4">
        <v>3.055</v>
      </c>
      <c r="F24" s="16" t="s">
        <v>52</v>
      </c>
      <c r="G24" s="1">
        <v>0.68617099999999</v>
      </c>
      <c r="H24" s="1">
        <v>80.0213</v>
      </c>
      <c r="I24" s="1">
        <v>-2.803</v>
      </c>
      <c r="J24" s="1">
        <v>7.6932</v>
      </c>
      <c r="K24" s="22" t="s">
        <v>22</v>
      </c>
      <c r="L24" s="1">
        <v>0.984809999999952</v>
      </c>
      <c r="M24" s="1">
        <v>78.2919</v>
      </c>
      <c r="N24" s="1">
        <v>-4.5324</v>
      </c>
      <c r="O24" s="1">
        <v>2.2894</v>
      </c>
      <c r="P24" s="7">
        <v>2000.0</v>
      </c>
      <c r="Q24" s="1">
        <v>0.986155999999943</v>
      </c>
      <c r="R24" s="1">
        <v>82.9731</v>
      </c>
      <c r="S24" s="1">
        <v>0.1487</v>
      </c>
      <c r="T24" s="1">
        <v>1.9898</v>
      </c>
      <c r="U24" s="1">
        <f t="shared" si="1"/>
        <v>2.01246118</v>
      </c>
      <c r="V24" s="1">
        <v>0.791284999999984</v>
      </c>
      <c r="W24" s="1">
        <v>0.999830999999997</v>
      </c>
    </row>
    <row r="25">
      <c r="A25" s="12" t="s">
        <v>27</v>
      </c>
      <c r="B25" s="4">
        <v>0.934318999999972</v>
      </c>
      <c r="C25" s="4">
        <v>67.1009</v>
      </c>
      <c r="D25" s="4">
        <v>-15.7234</v>
      </c>
      <c r="E25" s="4">
        <v>3.3191</v>
      </c>
      <c r="F25" s="16" t="s">
        <v>53</v>
      </c>
      <c r="G25" s="1">
        <v>0.699293999999995</v>
      </c>
      <c r="H25" s="1">
        <v>80.0817</v>
      </c>
      <c r="I25" s="1">
        <v>-2.7426</v>
      </c>
      <c r="J25" s="1">
        <v>7.5155</v>
      </c>
      <c r="K25" s="22" t="s">
        <v>25</v>
      </c>
      <c r="L25" s="1">
        <v>0.971128999999957</v>
      </c>
      <c r="M25" s="1">
        <v>77.3056</v>
      </c>
      <c r="N25" s="1">
        <v>-5.5187</v>
      </c>
      <c r="O25" s="1">
        <v>2.5174</v>
      </c>
      <c r="P25" s="7">
        <v>2100.0</v>
      </c>
      <c r="Q25" s="1">
        <v>0.986996999999946</v>
      </c>
      <c r="R25" s="1">
        <v>82.7116</v>
      </c>
      <c r="S25" s="1">
        <v>-0.1128</v>
      </c>
      <c r="T25" s="1">
        <v>1.943</v>
      </c>
      <c r="U25" s="1">
        <f t="shared" si="1"/>
        <v>1.963961012</v>
      </c>
      <c r="V25" s="1">
        <v>0.791690999999986</v>
      </c>
      <c r="W25" s="1">
        <v>0.999879999999998</v>
      </c>
    </row>
    <row r="26">
      <c r="A26" s="12" t="s">
        <v>30</v>
      </c>
      <c r="B26" s="4">
        <v>0.878332999999977</v>
      </c>
      <c r="C26" s="4">
        <v>62.8942</v>
      </c>
      <c r="D26" s="4">
        <v>-19.9302</v>
      </c>
      <c r="E26" s="4">
        <v>3.6642</v>
      </c>
      <c r="F26" s="16" t="s">
        <v>54</v>
      </c>
      <c r="G26" s="1">
        <v>0.717438999999992</v>
      </c>
      <c r="H26" s="1">
        <v>80.1822</v>
      </c>
      <c r="I26" s="1">
        <v>-2.6422</v>
      </c>
      <c r="J26" s="1">
        <v>7.2484</v>
      </c>
      <c r="K26" s="22" t="s">
        <v>28</v>
      </c>
      <c r="L26" s="1">
        <v>0.944925999999966</v>
      </c>
      <c r="M26" s="1">
        <v>75.883</v>
      </c>
      <c r="N26" s="1">
        <v>-6.9913</v>
      </c>
      <c r="O26" s="1">
        <v>2.8212</v>
      </c>
      <c r="P26" s="7">
        <v>2200.0</v>
      </c>
      <c r="Q26" s="1">
        <v>0.989525999999945</v>
      </c>
      <c r="R26" s="1">
        <v>83.087</v>
      </c>
      <c r="S26" s="1">
        <v>0.2626</v>
      </c>
      <c r="T26" s="1">
        <v>1.898</v>
      </c>
      <c r="U26" s="1">
        <f t="shared" si="1"/>
        <v>1.918806447</v>
      </c>
      <c r="V26" s="1">
        <v>0.79348399999999</v>
      </c>
      <c r="W26" s="1">
        <v>0.999915999999998</v>
      </c>
    </row>
    <row r="27">
      <c r="A27" s="12" t="s">
        <v>33</v>
      </c>
      <c r="B27" s="4">
        <v>0.768792999999989</v>
      </c>
      <c r="C27" s="4">
        <v>55.6658</v>
      </c>
      <c r="D27" s="4">
        <v>-27.1585</v>
      </c>
      <c r="E27" s="4">
        <v>4.1545</v>
      </c>
      <c r="F27" s="16" t="s">
        <v>55</v>
      </c>
      <c r="G27" s="1">
        <v>0.742648999999995</v>
      </c>
      <c r="H27" s="1">
        <v>80.3495</v>
      </c>
      <c r="I27" s="1">
        <v>-2.4748</v>
      </c>
      <c r="J27" s="1">
        <v>6.8496</v>
      </c>
      <c r="K27" s="22" t="s">
        <v>31</v>
      </c>
      <c r="L27" s="1">
        <v>0.893427999999974</v>
      </c>
      <c r="M27" s="1">
        <v>73.3541</v>
      </c>
      <c r="N27" s="1">
        <v>-9.4703</v>
      </c>
      <c r="O27" s="1">
        <v>3.2576</v>
      </c>
      <c r="P27" s="7">
        <v>2300.0</v>
      </c>
      <c r="Q27" s="1">
        <v>0.990815999999946</v>
      </c>
      <c r="R27" s="1">
        <v>82.8469</v>
      </c>
      <c r="S27" s="1">
        <v>0.0226</v>
      </c>
      <c r="T27" s="1">
        <v>1.8409</v>
      </c>
      <c r="U27" s="1">
        <f t="shared" si="1"/>
        <v>1.876629727</v>
      </c>
      <c r="V27" s="1">
        <v>0.795062999999988</v>
      </c>
      <c r="W27" s="1">
        <v>0.999929999999998</v>
      </c>
    </row>
    <row r="28">
      <c r="A28" s="12" t="s">
        <v>36</v>
      </c>
      <c r="B28" s="4">
        <v>0.00176899999999999</v>
      </c>
      <c r="C28" s="4">
        <v>39.6582</v>
      </c>
      <c r="D28" s="4">
        <v>-43.1662</v>
      </c>
      <c r="E28" s="4">
        <v>6.2992</v>
      </c>
      <c r="F28" s="16" t="s">
        <v>56</v>
      </c>
      <c r="G28" s="4">
        <v>0.776708999999992</v>
      </c>
      <c r="H28" s="4">
        <v>80.6285</v>
      </c>
      <c r="I28" s="4">
        <v>-2.1959</v>
      </c>
      <c r="J28" s="4">
        <v>6.2592</v>
      </c>
      <c r="K28" s="22" t="s">
        <v>34</v>
      </c>
      <c r="L28" s="1">
        <v>0.786744999999989</v>
      </c>
      <c r="M28" s="1">
        <v>68.3982</v>
      </c>
      <c r="N28" s="1">
        <v>-14.4261</v>
      </c>
      <c r="O28" s="1">
        <v>3.9532</v>
      </c>
      <c r="P28" s="7">
        <v>2400.0</v>
      </c>
      <c r="Q28" s="1">
        <v>0.991915999999949</v>
      </c>
      <c r="R28" s="1">
        <v>82.8176</v>
      </c>
      <c r="S28" s="1">
        <v>-0.0068</v>
      </c>
      <c r="T28" s="1">
        <v>1.8082</v>
      </c>
      <c r="U28" s="1">
        <f t="shared" si="1"/>
        <v>1.837117307</v>
      </c>
      <c r="V28" s="1">
        <v>0.792162999999986</v>
      </c>
      <c r="W28" s="1">
        <v>0.999969999999999</v>
      </c>
    </row>
    <row r="29">
      <c r="A29" s="12" t="s">
        <v>108</v>
      </c>
      <c r="B29" s="4">
        <v>8.43999999999986E-4</v>
      </c>
      <c r="C29" s="4">
        <v>0.0</v>
      </c>
      <c r="D29" s="4">
        <v>-82.8243</v>
      </c>
      <c r="E29" s="4">
        <v>6.9924</v>
      </c>
      <c r="F29" s="16" t="s">
        <v>57</v>
      </c>
      <c r="G29" s="1">
        <v>0.822142999999983</v>
      </c>
      <c r="H29" s="1">
        <v>81.0913</v>
      </c>
      <c r="I29" s="1">
        <v>-1.7313</v>
      </c>
      <c r="J29" s="1">
        <v>5.3977</v>
      </c>
      <c r="K29" s="22" t="s">
        <v>37</v>
      </c>
      <c r="L29" s="1">
        <v>0.548744999999997</v>
      </c>
      <c r="M29" s="1">
        <v>54.5349</v>
      </c>
      <c r="N29" s="1">
        <v>-28.2894</v>
      </c>
      <c r="O29" s="1">
        <v>5.2229</v>
      </c>
      <c r="P29" s="7">
        <v>2500.0</v>
      </c>
      <c r="Q29" s="1">
        <v>0.992276999999948</v>
      </c>
      <c r="R29" s="1">
        <v>82.5749</v>
      </c>
      <c r="S29" s="1">
        <v>-0.2494</v>
      </c>
      <c r="T29" s="1">
        <v>1.7938</v>
      </c>
      <c r="U29" s="1">
        <f t="shared" si="1"/>
        <v>1.8</v>
      </c>
      <c r="V29" s="1">
        <v>0.796136999999985</v>
      </c>
      <c r="W29" s="1">
        <v>0.999964999999999</v>
      </c>
    </row>
    <row r="30">
      <c r="A30" s="12" t="s">
        <v>39</v>
      </c>
      <c r="B30" s="4">
        <v>0.871252999999979</v>
      </c>
      <c r="C30" s="4">
        <v>94.191</v>
      </c>
      <c r="D30" s="4">
        <v>11.3667</v>
      </c>
      <c r="E30" s="4">
        <v>2.952</v>
      </c>
      <c r="F30" s="16" t="s">
        <v>58</v>
      </c>
      <c r="G30" s="1">
        <v>0.877853999999978</v>
      </c>
      <c r="H30" s="1">
        <v>81.8635</v>
      </c>
      <c r="I30" s="1">
        <v>-0.9608</v>
      </c>
      <c r="J30" s="1">
        <v>4.1881</v>
      </c>
      <c r="K30" s="22" t="s">
        <v>109</v>
      </c>
      <c r="L30" s="1">
        <v>0.398710999999997</v>
      </c>
      <c r="M30" s="1">
        <v>2.5521</v>
      </c>
      <c r="N30" s="1">
        <v>-80.2722</v>
      </c>
      <c r="O30" s="1">
        <v>6.3866</v>
      </c>
      <c r="P30" s="7">
        <v>2600.0</v>
      </c>
      <c r="Q30" s="1">
        <v>0.994025999999954</v>
      </c>
      <c r="R30" s="1">
        <v>83.1646</v>
      </c>
      <c r="S30" s="1">
        <v>0.3403</v>
      </c>
      <c r="T30" s="1">
        <v>1.7499</v>
      </c>
      <c r="U30" s="1">
        <f t="shared" si="1"/>
        <v>1.765045216</v>
      </c>
      <c r="V30" s="1">
        <v>0.794524999999988</v>
      </c>
      <c r="W30" s="1">
        <v>0.999971999999999</v>
      </c>
    </row>
    <row r="31">
      <c r="A31" s="12" t="s">
        <v>42</v>
      </c>
      <c r="B31" s="4">
        <v>0.845252999999985</v>
      </c>
      <c r="C31" s="4">
        <v>95.8741</v>
      </c>
      <c r="D31" s="4">
        <v>13.0498</v>
      </c>
      <c r="E31" s="4">
        <v>3.1359</v>
      </c>
      <c r="F31" s="16" t="s">
        <v>59</v>
      </c>
      <c r="G31" s="1">
        <v>0.93714399999996</v>
      </c>
      <c r="H31" s="1">
        <v>83.1215</v>
      </c>
      <c r="I31" s="1">
        <v>0.2971</v>
      </c>
      <c r="J31" s="1">
        <v>2.7485</v>
      </c>
      <c r="K31" s="21" t="s">
        <v>113</v>
      </c>
      <c r="M31" s="1" t="s">
        <v>8</v>
      </c>
      <c r="N31" s="1" t="s">
        <v>14</v>
      </c>
      <c r="O31" s="1" t="s">
        <v>15</v>
      </c>
      <c r="P31" s="7">
        <v>2700.0</v>
      </c>
      <c r="Q31" s="1">
        <v>0.994344999999954</v>
      </c>
      <c r="R31" s="1">
        <v>82.8221</v>
      </c>
      <c r="S31" s="1">
        <v>-0.0022</v>
      </c>
      <c r="T31" s="1">
        <v>1.7115</v>
      </c>
      <c r="U31" s="1">
        <f t="shared" si="1"/>
        <v>1.732050808</v>
      </c>
      <c r="V31" s="1">
        <v>0.795815999999984</v>
      </c>
      <c r="W31" s="1">
        <v>0.999983999999999</v>
      </c>
    </row>
    <row r="32">
      <c r="A32" s="12" t="s">
        <v>44</v>
      </c>
      <c r="B32" s="4">
        <v>0.810391999999989</v>
      </c>
      <c r="C32" s="4">
        <v>98.1424</v>
      </c>
      <c r="D32" s="4">
        <v>15.3181</v>
      </c>
      <c r="E32" s="4">
        <v>3.3615</v>
      </c>
      <c r="F32" s="16" t="s">
        <v>60</v>
      </c>
      <c r="G32" s="1">
        <v>0.97688299999994</v>
      </c>
      <c r="H32" s="1">
        <v>85.0647</v>
      </c>
      <c r="I32" s="1">
        <v>2.2404</v>
      </c>
      <c r="J32" s="1">
        <v>2.58</v>
      </c>
      <c r="K32" s="22" t="s">
        <v>19</v>
      </c>
      <c r="L32" s="1">
        <v>0.95816599999995</v>
      </c>
      <c r="M32" s="1">
        <v>87.0274</v>
      </c>
      <c r="N32" s="1">
        <v>4.2031</v>
      </c>
      <c r="O32" s="1">
        <v>2.3597</v>
      </c>
      <c r="P32" s="7">
        <v>2800.0</v>
      </c>
      <c r="Q32" s="1">
        <v>0.995396999999958</v>
      </c>
      <c r="R32" s="1">
        <v>83.1799</v>
      </c>
      <c r="S32" s="1">
        <v>0.3555</v>
      </c>
      <c r="T32" s="1">
        <v>1.6882</v>
      </c>
      <c r="U32" s="1">
        <f t="shared" si="1"/>
        <v>1.700840129</v>
      </c>
      <c r="V32" s="1">
        <v>0.795325999999987</v>
      </c>
      <c r="W32" s="1">
        <v>0.999980999999999</v>
      </c>
    </row>
    <row r="33">
      <c r="A33" s="12" t="s">
        <v>45</v>
      </c>
      <c r="B33" s="4">
        <v>0.76220199999999</v>
      </c>
      <c r="C33" s="4">
        <v>101.3613</v>
      </c>
      <c r="D33" s="4">
        <v>18.537</v>
      </c>
      <c r="E33" s="4">
        <v>3.6483</v>
      </c>
      <c r="F33" s="16" t="s">
        <v>61</v>
      </c>
      <c r="G33" s="1">
        <v>0.963482999999942</v>
      </c>
      <c r="H33" s="1">
        <v>87.5858</v>
      </c>
      <c r="I33" s="1">
        <v>4.7614</v>
      </c>
      <c r="J33" s="1">
        <v>4.7569</v>
      </c>
      <c r="K33" s="22" t="s">
        <v>22</v>
      </c>
      <c r="L33" s="1">
        <v>0.943640999999954</v>
      </c>
      <c r="M33" s="1">
        <v>87.7656</v>
      </c>
      <c r="N33" s="1">
        <v>4.9412</v>
      </c>
      <c r="O33" s="1">
        <v>2.5595</v>
      </c>
      <c r="P33" s="7">
        <v>2900.0</v>
      </c>
      <c r="Q33" s="1">
        <v>0.995756999999958</v>
      </c>
      <c r="R33" s="1">
        <v>83.0722</v>
      </c>
      <c r="S33" s="1">
        <v>0.2479</v>
      </c>
      <c r="T33" s="1">
        <v>1.6856</v>
      </c>
      <c r="U33" s="1">
        <f t="shared" si="1"/>
        <v>1.671258044</v>
      </c>
      <c r="V33" s="1">
        <v>0.797933999999984</v>
      </c>
      <c r="W33" s="1">
        <v>0.999985999999999</v>
      </c>
    </row>
    <row r="34">
      <c r="A34" s="12" t="s">
        <v>46</v>
      </c>
      <c r="B34" s="4">
        <v>0.691989999999997</v>
      </c>
      <c r="C34" s="4">
        <v>106.1795</v>
      </c>
      <c r="D34" s="4">
        <v>23.3552</v>
      </c>
      <c r="E34" s="4">
        <v>4.0186</v>
      </c>
      <c r="F34" s="23" t="s">
        <v>114</v>
      </c>
      <c r="K34" s="22" t="s">
        <v>25</v>
      </c>
      <c r="L34" s="1">
        <v>0.921537999999966</v>
      </c>
      <c r="M34" s="1">
        <v>88.8184</v>
      </c>
      <c r="N34" s="1">
        <v>5.9941</v>
      </c>
      <c r="O34" s="1">
        <v>2.8151</v>
      </c>
      <c r="P34" s="7">
        <v>3000.0</v>
      </c>
      <c r="Q34" s="1">
        <v>0.996363999999962</v>
      </c>
      <c r="R34" s="1">
        <v>82.8782</v>
      </c>
      <c r="S34" s="1">
        <v>0.0539</v>
      </c>
      <c r="T34" s="1">
        <v>1.6195</v>
      </c>
      <c r="U34" s="1">
        <f t="shared" si="1"/>
        <v>1.643167673</v>
      </c>
      <c r="V34" s="1">
        <v>0.79547799999999</v>
      </c>
      <c r="W34" s="1">
        <v>0.999987999999999</v>
      </c>
    </row>
    <row r="35">
      <c r="A35" s="12" t="s">
        <v>47</v>
      </c>
      <c r="B35" s="4">
        <v>0.586817999999998</v>
      </c>
      <c r="C35" s="4">
        <v>114.3246</v>
      </c>
      <c r="D35" s="4">
        <v>31.5002</v>
      </c>
      <c r="E35" s="4">
        <v>4.5388</v>
      </c>
      <c r="F35" s="24" t="s">
        <v>51</v>
      </c>
      <c r="G35" s="4">
        <v>0.755634999999989</v>
      </c>
      <c r="H35" s="4">
        <v>83.5136</v>
      </c>
      <c r="I35" s="4">
        <v>0.6893</v>
      </c>
      <c r="J35" s="4">
        <v>4.1892</v>
      </c>
      <c r="K35" s="22" t="s">
        <v>28</v>
      </c>
      <c r="L35" s="1">
        <v>0.886900999999975</v>
      </c>
      <c r="M35" s="1">
        <v>90.4407</v>
      </c>
      <c r="N35" s="1">
        <v>7.6163</v>
      </c>
      <c r="O35" s="1">
        <v>3.1635</v>
      </c>
      <c r="P35" s="7">
        <v>3100.0</v>
      </c>
      <c r="Q35" s="1">
        <v>0.996750999999965</v>
      </c>
      <c r="R35" s="1">
        <v>82.965</v>
      </c>
      <c r="S35" s="1">
        <v>0.1406</v>
      </c>
      <c r="T35" s="1">
        <v>1.5984</v>
      </c>
      <c r="U35" s="1">
        <f t="shared" si="1"/>
        <v>1.616447718</v>
      </c>
      <c r="V35" s="1">
        <v>0.796391999999983</v>
      </c>
      <c r="W35" s="1">
        <v>0.999990999999999</v>
      </c>
    </row>
    <row r="36">
      <c r="A36" s="12" t="s">
        <v>48</v>
      </c>
      <c r="B36" s="4">
        <v>0.417181</v>
      </c>
      <c r="C36" s="4">
        <v>131.94</v>
      </c>
      <c r="D36" s="4">
        <v>49.1157</v>
      </c>
      <c r="E36" s="4">
        <v>6.6103</v>
      </c>
      <c r="F36" s="24" t="s">
        <v>52</v>
      </c>
      <c r="G36" s="4">
        <v>0.755635999999989</v>
      </c>
      <c r="H36" s="4">
        <v>83.5136</v>
      </c>
      <c r="I36" s="4">
        <v>0.6893</v>
      </c>
      <c r="J36" s="4">
        <v>4.1892</v>
      </c>
      <c r="K36" s="22" t="s">
        <v>31</v>
      </c>
      <c r="L36" s="1">
        <v>0.826295999999985</v>
      </c>
      <c r="M36" s="1">
        <v>93.1451</v>
      </c>
      <c r="N36" s="1">
        <v>10.3207</v>
      </c>
      <c r="O36" s="1">
        <v>3.6711</v>
      </c>
      <c r="P36" s="7">
        <v>3200.0</v>
      </c>
      <c r="Q36" s="1">
        <v>0.997127999999968</v>
      </c>
      <c r="R36" s="1">
        <v>82.9429</v>
      </c>
      <c r="S36" s="1">
        <v>0.1186</v>
      </c>
      <c r="T36" s="1">
        <v>1.5694</v>
      </c>
      <c r="U36" s="1">
        <f t="shared" si="1"/>
        <v>1.590990258</v>
      </c>
      <c r="V36" s="1">
        <v>0.797052999999987</v>
      </c>
      <c r="W36" s="1">
        <v>0.999993999999999</v>
      </c>
    </row>
    <row r="37">
      <c r="A37" s="12" t="s">
        <v>111</v>
      </c>
      <c r="B37" s="4">
        <v>8.43999999999986E-4</v>
      </c>
      <c r="C37" s="4">
        <v>180.0</v>
      </c>
      <c r="D37" s="4">
        <v>97.1757</v>
      </c>
      <c r="E37" s="4">
        <v>6.9924</v>
      </c>
      <c r="F37" s="24" t="s">
        <v>53</v>
      </c>
      <c r="G37" s="4">
        <v>0.755643999999989</v>
      </c>
      <c r="H37" s="4">
        <v>83.5136</v>
      </c>
      <c r="I37" s="4">
        <v>0.6893</v>
      </c>
      <c r="J37" s="4">
        <v>4.1892</v>
      </c>
      <c r="K37" s="22" t="s">
        <v>34</v>
      </c>
      <c r="L37" s="1">
        <v>0.714132999999993</v>
      </c>
      <c r="M37" s="1">
        <v>98.5131</v>
      </c>
      <c r="N37" s="1">
        <v>15.6888</v>
      </c>
      <c r="O37" s="1">
        <v>4.4905</v>
      </c>
      <c r="P37" s="7">
        <v>3300.0</v>
      </c>
      <c r="Q37" s="1">
        <v>0.997032999999968</v>
      </c>
      <c r="R37" s="1">
        <v>82.7559</v>
      </c>
      <c r="S37" s="1">
        <v>-0.0684</v>
      </c>
      <c r="T37" s="1">
        <v>1.5752</v>
      </c>
      <c r="U37" s="1">
        <f t="shared" si="1"/>
        <v>1.566698904</v>
      </c>
      <c r="V37" s="1">
        <v>0.798122999999986</v>
      </c>
      <c r="W37" s="1">
        <v>0.999993999999999</v>
      </c>
    </row>
    <row r="38">
      <c r="A38" s="15" t="s">
        <v>50</v>
      </c>
      <c r="F38" s="24" t="s">
        <v>54</v>
      </c>
      <c r="G38" s="4">
        <v>0.755674999999989</v>
      </c>
      <c r="H38" s="4">
        <v>83.5136</v>
      </c>
      <c r="I38" s="4">
        <v>0.6893</v>
      </c>
      <c r="J38" s="4">
        <v>4.1891</v>
      </c>
      <c r="K38" s="22" t="s">
        <v>37</v>
      </c>
      <c r="L38" s="1">
        <v>0.493798999999998</v>
      </c>
      <c r="M38" s="1">
        <v>113.4998</v>
      </c>
      <c r="N38" s="1">
        <v>30.6754</v>
      </c>
      <c r="O38" s="1">
        <v>5.9998</v>
      </c>
      <c r="P38" s="7">
        <v>3400.0</v>
      </c>
      <c r="Q38" s="1">
        <v>0.99753599999997</v>
      </c>
      <c r="R38" s="1">
        <v>82.7607</v>
      </c>
      <c r="S38" s="1">
        <v>-0.0637</v>
      </c>
      <c r="T38" s="1">
        <v>1.5135</v>
      </c>
      <c r="U38" s="1">
        <f t="shared" si="1"/>
        <v>1.543487266</v>
      </c>
      <c r="V38" s="1">
        <v>0.797384999999985</v>
      </c>
      <c r="W38" s="1">
        <v>0.999991999999999</v>
      </c>
    </row>
    <row r="39">
      <c r="A39" s="16" t="s">
        <v>62</v>
      </c>
      <c r="B39" s="1">
        <v>0.565144999999997</v>
      </c>
      <c r="C39" s="4">
        <v>40.2214</v>
      </c>
      <c r="D39" s="4">
        <v>-42.6029</v>
      </c>
      <c r="E39" s="4">
        <v>4.8777</v>
      </c>
      <c r="F39" s="24" t="s">
        <v>55</v>
      </c>
      <c r="G39" s="1">
        <v>0.755864999999988</v>
      </c>
      <c r="H39" s="4">
        <v>83.5136</v>
      </c>
      <c r="I39" s="4">
        <v>0.6893</v>
      </c>
      <c r="J39" s="4">
        <v>4.1883</v>
      </c>
      <c r="K39" s="22" t="s">
        <v>109</v>
      </c>
      <c r="L39" s="1">
        <v>0.398651999999998</v>
      </c>
      <c r="M39" s="1">
        <v>175.7552</v>
      </c>
      <c r="N39" s="1">
        <v>92.9309</v>
      </c>
      <c r="O39" s="1">
        <v>6.0245</v>
      </c>
      <c r="P39" s="7">
        <v>3500.0</v>
      </c>
      <c r="Q39" s="1">
        <v>0.997862999999974</v>
      </c>
      <c r="R39" s="1">
        <v>82.7598</v>
      </c>
      <c r="S39" s="1">
        <v>-0.0646</v>
      </c>
      <c r="T39" s="1">
        <v>1.5078</v>
      </c>
      <c r="U39" s="1">
        <f t="shared" si="1"/>
        <v>1.521277659</v>
      </c>
      <c r="V39" s="1">
        <v>0.797388999999982</v>
      </c>
      <c r="W39" s="1">
        <v>0.999999</v>
      </c>
    </row>
    <row r="40">
      <c r="A40" s="16" t="s">
        <v>63</v>
      </c>
      <c r="B40" s="1">
        <v>0.579212</v>
      </c>
      <c r="C40" s="1">
        <v>40.3558</v>
      </c>
      <c r="D40" s="1">
        <v>-42.4685</v>
      </c>
      <c r="E40" s="1">
        <v>4.8418</v>
      </c>
      <c r="F40" s="24" t="s">
        <v>56</v>
      </c>
      <c r="G40" s="4">
        <v>0.756668999999991</v>
      </c>
      <c r="H40" s="4">
        <v>83.5138</v>
      </c>
      <c r="I40" s="4">
        <v>0.6895</v>
      </c>
      <c r="J40" s="4">
        <v>4.1836</v>
      </c>
      <c r="K40" s="21" t="s">
        <v>115</v>
      </c>
      <c r="M40" s="1" t="s">
        <v>8</v>
      </c>
      <c r="N40" s="1" t="s">
        <v>14</v>
      </c>
      <c r="O40" s="1" t="s">
        <v>15</v>
      </c>
      <c r="P40" s="7">
        <v>3600.0</v>
      </c>
      <c r="Q40" s="1">
        <v>0.998037999999975</v>
      </c>
      <c r="R40" s="1">
        <v>82.6475</v>
      </c>
      <c r="S40" s="1">
        <v>-0.1769</v>
      </c>
      <c r="T40" s="1">
        <v>1.4872</v>
      </c>
      <c r="U40" s="1">
        <f t="shared" si="1"/>
        <v>1.5</v>
      </c>
      <c r="V40" s="1">
        <v>0.798321999999987</v>
      </c>
      <c r="W40" s="1">
        <v>0.999999</v>
      </c>
    </row>
    <row r="41">
      <c r="A41" s="16" t="s">
        <v>64</v>
      </c>
      <c r="B41" s="1">
        <v>0.598668999999996</v>
      </c>
      <c r="C41" s="1">
        <v>40.5798</v>
      </c>
      <c r="D41" s="1">
        <v>-42.2445</v>
      </c>
      <c r="E41" s="1">
        <v>4.7902</v>
      </c>
      <c r="F41" s="24" t="s">
        <v>57</v>
      </c>
      <c r="G41" s="1">
        <v>0.760844999999988</v>
      </c>
      <c r="H41" s="1">
        <v>83.515</v>
      </c>
      <c r="I41" s="1">
        <v>0.6907</v>
      </c>
      <c r="J41" s="1">
        <v>4.1577</v>
      </c>
      <c r="K41" s="22" t="s">
        <v>19</v>
      </c>
      <c r="L41" s="1">
        <v>0.993893999999961</v>
      </c>
      <c r="M41" s="1">
        <v>82.521</v>
      </c>
      <c r="N41" s="1">
        <v>-0.3033</v>
      </c>
      <c r="O41" s="1">
        <v>1.9755</v>
      </c>
      <c r="P41" s="7">
        <v>3700.0</v>
      </c>
      <c r="Q41" s="1">
        <v>0.998369999999978</v>
      </c>
      <c r="R41" s="1">
        <v>82.7394</v>
      </c>
      <c r="S41" s="1">
        <v>-0.0849</v>
      </c>
      <c r="T41" s="1">
        <v>1.4503</v>
      </c>
      <c r="U41" s="1">
        <f t="shared" si="1"/>
        <v>1.479590886</v>
      </c>
      <c r="V41" s="1">
        <v>0.799149999999986</v>
      </c>
      <c r="W41" s="1">
        <v>1.0</v>
      </c>
    </row>
    <row r="42">
      <c r="A42" s="16" t="s">
        <v>65</v>
      </c>
      <c r="B42" s="1">
        <v>0.625719999999995</v>
      </c>
      <c r="C42" s="1">
        <v>40.9544</v>
      </c>
      <c r="D42" s="1">
        <v>-41.87</v>
      </c>
      <c r="E42" s="1">
        <v>4.7177</v>
      </c>
      <c r="F42" s="24" t="s">
        <v>58</v>
      </c>
      <c r="G42" s="1">
        <v>0.77987599999999</v>
      </c>
      <c r="H42" s="1">
        <v>83.526</v>
      </c>
      <c r="I42" s="1">
        <v>0.7016</v>
      </c>
      <c r="J42" s="1">
        <v>4.0286</v>
      </c>
      <c r="K42" s="22" t="s">
        <v>22</v>
      </c>
      <c r="L42" s="1">
        <v>0.989501999999952</v>
      </c>
      <c r="M42" s="1">
        <v>82.446</v>
      </c>
      <c r="N42" s="1">
        <v>-0.3783</v>
      </c>
      <c r="O42" s="1">
        <v>2.1733</v>
      </c>
      <c r="P42" s="7">
        <v>3800.0</v>
      </c>
      <c r="Q42" s="1">
        <v>0.998433999999978</v>
      </c>
      <c r="R42" s="1">
        <v>82.7035</v>
      </c>
      <c r="S42" s="1">
        <v>-0.1209</v>
      </c>
      <c r="T42" s="1">
        <v>1.4507</v>
      </c>
      <c r="U42" s="1">
        <f t="shared" si="1"/>
        <v>1.45999279</v>
      </c>
      <c r="V42" s="1">
        <v>0.799334999999988</v>
      </c>
      <c r="W42" s="1">
        <v>0.999996999999999</v>
      </c>
    </row>
    <row r="43">
      <c r="A43" s="16" t="s">
        <v>66</v>
      </c>
      <c r="B43" s="1">
        <v>0.66239499999999</v>
      </c>
      <c r="C43" s="1">
        <v>41.5843</v>
      </c>
      <c r="D43" s="1">
        <v>-41.2401</v>
      </c>
      <c r="E43" s="1">
        <v>4.6179</v>
      </c>
      <c r="F43" s="24" t="s">
        <v>59</v>
      </c>
      <c r="G43" s="1">
        <v>0.839968999999987</v>
      </c>
      <c r="H43" s="1">
        <v>83.6318</v>
      </c>
      <c r="I43" s="1">
        <v>0.8075</v>
      </c>
      <c r="J43" s="1">
        <v>3.5286</v>
      </c>
      <c r="K43" s="22" t="s">
        <v>25</v>
      </c>
      <c r="L43" s="1">
        <v>0.981339999999945</v>
      </c>
      <c r="M43" s="1">
        <v>82.3506</v>
      </c>
      <c r="N43" s="1">
        <v>-0.4738</v>
      </c>
      <c r="O43" s="1">
        <v>2.4378</v>
      </c>
      <c r="P43" s="7">
        <v>3900.0</v>
      </c>
      <c r="Q43" s="1">
        <v>0.99862299999998</v>
      </c>
      <c r="R43" s="1">
        <v>82.8306</v>
      </c>
      <c r="S43" s="1">
        <v>0.0063</v>
      </c>
      <c r="T43" s="1">
        <v>1.4272</v>
      </c>
      <c r="U43" s="1">
        <f t="shared" si="1"/>
        <v>1.441153384</v>
      </c>
      <c r="V43" s="1">
        <v>0.798365999999988</v>
      </c>
      <c r="W43" s="1">
        <v>1.0</v>
      </c>
    </row>
    <row r="44">
      <c r="A44" s="16" t="s">
        <v>67</v>
      </c>
      <c r="B44" s="4">
        <v>0.712230999999989</v>
      </c>
      <c r="C44" s="4">
        <v>42.6543</v>
      </c>
      <c r="D44" s="4">
        <v>-40.1701</v>
      </c>
      <c r="E44" s="4">
        <v>4.4851</v>
      </c>
      <c r="F44" s="24" t="s">
        <v>60</v>
      </c>
      <c r="G44" s="1">
        <v>0.936787999999959</v>
      </c>
      <c r="H44" s="1">
        <v>84.3124</v>
      </c>
      <c r="I44" s="1">
        <v>1.4881</v>
      </c>
      <c r="J44" s="1">
        <v>2.5793</v>
      </c>
      <c r="K44" s="22" t="s">
        <v>28</v>
      </c>
      <c r="L44" s="1">
        <v>0.965468999999954</v>
      </c>
      <c r="M44" s="1">
        <v>82.2303</v>
      </c>
      <c r="N44" s="1">
        <v>-0.594</v>
      </c>
      <c r="O44" s="1">
        <v>2.817</v>
      </c>
      <c r="P44" s="7">
        <v>4000.0</v>
      </c>
      <c r="Q44" s="1">
        <v>0.998825999999983</v>
      </c>
      <c r="R44" s="1">
        <v>82.6763</v>
      </c>
      <c r="S44" s="1">
        <v>-0.1481</v>
      </c>
      <c r="T44" s="1">
        <v>1.403</v>
      </c>
      <c r="U44" s="1">
        <f t="shared" si="1"/>
        <v>1.423024947</v>
      </c>
      <c r="V44" s="1">
        <v>0.799004999999989</v>
      </c>
      <c r="W44" s="1">
        <v>1.0</v>
      </c>
    </row>
    <row r="45">
      <c r="A45" s="16" t="s">
        <v>68</v>
      </c>
      <c r="B45" s="1">
        <v>0.777417999999986</v>
      </c>
      <c r="C45" s="1">
        <v>44.5039</v>
      </c>
      <c r="D45" s="1">
        <v>-38.3204</v>
      </c>
      <c r="E45" s="1">
        <v>4.3183</v>
      </c>
      <c r="F45" s="24" t="s">
        <v>61</v>
      </c>
      <c r="G45" s="1">
        <v>0.981696999999941</v>
      </c>
      <c r="H45" s="1">
        <v>86.3435</v>
      </c>
      <c r="I45" s="1">
        <v>3.5192</v>
      </c>
      <c r="J45" s="1">
        <v>3.5833</v>
      </c>
      <c r="K45" s="22" t="s">
        <v>31</v>
      </c>
      <c r="L45" s="1">
        <v>0.932180999999966</v>
      </c>
      <c r="M45" s="1">
        <v>82.0109</v>
      </c>
      <c r="N45" s="1">
        <v>-0.8134</v>
      </c>
      <c r="O45" s="1">
        <v>3.4246</v>
      </c>
    </row>
    <row r="46">
      <c r="A46" s="16" t="s">
        <v>69</v>
      </c>
      <c r="B46" s="1">
        <v>0.856265999999978</v>
      </c>
      <c r="C46" s="1">
        <v>-47.8009</v>
      </c>
      <c r="D46" s="1">
        <v>-35.0234</v>
      </c>
      <c r="E46" s="1">
        <v>4.1325</v>
      </c>
      <c r="K46" s="22" t="s">
        <v>34</v>
      </c>
      <c r="L46" s="1">
        <v>0.855801999999979</v>
      </c>
      <c r="M46" s="1">
        <v>81.531</v>
      </c>
      <c r="N46" s="1">
        <v>-1.2934</v>
      </c>
      <c r="O46" s="1">
        <v>4.5955</v>
      </c>
    </row>
    <row r="47">
      <c r="A47" s="16" t="s">
        <v>70</v>
      </c>
      <c r="B47" s="1">
        <v>0.930872999999968</v>
      </c>
      <c r="C47" s="1">
        <v>54.0027</v>
      </c>
      <c r="D47" s="1">
        <v>-28.8216</v>
      </c>
      <c r="E47" s="1">
        <v>3.9955</v>
      </c>
      <c r="K47" s="22" t="s">
        <v>37</v>
      </c>
      <c r="L47" s="1">
        <v>0.659655999999996</v>
      </c>
      <c r="M47" s="1">
        <v>79.9385</v>
      </c>
      <c r="N47" s="1">
        <v>-2.8858</v>
      </c>
      <c r="O47" s="1">
        <v>8.0037</v>
      </c>
    </row>
    <row r="48">
      <c r="A48" s="16" t="s">
        <v>71</v>
      </c>
      <c r="B48" s="1">
        <v>0.951842999999957</v>
      </c>
      <c r="C48" s="1">
        <v>66.7837</v>
      </c>
      <c r="D48" s="1">
        <v>-16.0406</v>
      </c>
      <c r="E48" s="1">
        <v>4.1128</v>
      </c>
      <c r="K48" s="22" t="s">
        <v>109</v>
      </c>
      <c r="L48" s="1">
        <v>0.398726999999998</v>
      </c>
      <c r="M48" s="1">
        <v>66.8089</v>
      </c>
      <c r="N48" s="1">
        <v>-16.0154</v>
      </c>
      <c r="O48" s="1">
        <v>29.8633</v>
      </c>
    </row>
    <row r="49">
      <c r="A49" s="16" t="s">
        <v>72</v>
      </c>
      <c r="B49" s="1">
        <v>0.692501999999995</v>
      </c>
      <c r="C49" s="1">
        <v>97.7105</v>
      </c>
      <c r="D49" s="1">
        <v>14.8862</v>
      </c>
      <c r="E49" s="1">
        <v>4.7667</v>
      </c>
      <c r="K49" s="21" t="s">
        <v>112</v>
      </c>
    </row>
    <row r="50">
      <c r="A50" s="16" t="s">
        <v>73</v>
      </c>
      <c r="B50" s="4">
        <v>0.423312</v>
      </c>
      <c r="C50" s="4">
        <v>131.4415</v>
      </c>
      <c r="D50" s="4">
        <v>48.6172</v>
      </c>
      <c r="E50" s="4">
        <v>5.2227</v>
      </c>
      <c r="K50" s="22" t="s">
        <v>19</v>
      </c>
      <c r="L50" s="1"/>
      <c r="M50" s="2"/>
      <c r="N50" s="2"/>
      <c r="O50" s="2"/>
    </row>
    <row r="51">
      <c r="A51" s="16" t="s">
        <v>74</v>
      </c>
      <c r="B51" s="1">
        <v>0.427583</v>
      </c>
      <c r="C51" s="1">
        <v>131.3118</v>
      </c>
      <c r="D51" s="1">
        <v>48.4875</v>
      </c>
      <c r="E51" s="1">
        <v>5.1802</v>
      </c>
      <c r="K51" s="22" t="s">
        <v>22</v>
      </c>
      <c r="L51" s="2"/>
      <c r="M51" s="2"/>
      <c r="N51" s="2"/>
      <c r="O51" s="2"/>
    </row>
    <row r="52">
      <c r="A52" s="16" t="s">
        <v>75</v>
      </c>
      <c r="B52" s="1">
        <v>0.434260999999998</v>
      </c>
      <c r="C52" s="1">
        <v>131.0958</v>
      </c>
      <c r="D52" s="1">
        <v>48.2715</v>
      </c>
      <c r="E52" s="1">
        <v>5.1187</v>
      </c>
      <c r="K52" s="22" t="s">
        <v>25</v>
      </c>
      <c r="L52" s="2"/>
      <c r="M52" s="2"/>
      <c r="N52" s="2"/>
      <c r="O52" s="2"/>
    </row>
    <row r="53">
      <c r="A53" s="16" t="s">
        <v>76</v>
      </c>
      <c r="B53" s="1">
        <v>0.445649000000001</v>
      </c>
      <c r="C53" s="1">
        <v>130.735</v>
      </c>
      <c r="D53" s="1">
        <v>47.9106</v>
      </c>
      <c r="E53" s="1">
        <v>5.0308</v>
      </c>
      <c r="K53" s="22" t="s">
        <v>28</v>
      </c>
      <c r="L53" s="2"/>
      <c r="M53" s="2"/>
      <c r="N53" s="2"/>
      <c r="O53" s="2"/>
    </row>
    <row r="54">
      <c r="A54" s="16" t="s">
        <v>77</v>
      </c>
      <c r="B54" s="1">
        <v>0.463196999999999</v>
      </c>
      <c r="C54" s="1">
        <v>130.1291</v>
      </c>
      <c r="D54" s="1">
        <v>47.3047</v>
      </c>
      <c r="E54" s="1">
        <v>4.9078</v>
      </c>
      <c r="K54" s="22" t="s">
        <v>456</v>
      </c>
      <c r="L54" s="1"/>
      <c r="M54" s="1"/>
      <c r="N54" s="1"/>
      <c r="O54" s="1"/>
    </row>
    <row r="55">
      <c r="A55" s="16" t="s">
        <v>78</v>
      </c>
      <c r="B55" s="4">
        <v>0.490996999999998</v>
      </c>
      <c r="C55" s="4">
        <v>129.1026</v>
      </c>
      <c r="D55" s="4">
        <v>46.2783</v>
      </c>
      <c r="E55" s="4">
        <v>4.7398</v>
      </c>
      <c r="K55" s="22" t="s">
        <v>457</v>
      </c>
      <c r="L55" s="1"/>
      <c r="M55" s="1"/>
      <c r="N55" s="1"/>
      <c r="O55" s="1"/>
    </row>
    <row r="56">
      <c r="A56" s="16" t="s">
        <v>79</v>
      </c>
      <c r="B56" s="1">
        <v>0.534300000000001</v>
      </c>
      <c r="C56" s="1">
        <v>127.335</v>
      </c>
      <c r="D56" s="1">
        <v>44.5106</v>
      </c>
      <c r="E56" s="1">
        <v>4.5185</v>
      </c>
      <c r="K56" s="22" t="s">
        <v>458</v>
      </c>
      <c r="L56" s="1">
        <v>0.769002999999991</v>
      </c>
      <c r="M56" s="1">
        <v>68.4019</v>
      </c>
      <c r="N56" s="1">
        <v>-14.4224</v>
      </c>
      <c r="O56" s="1">
        <v>3.8562</v>
      </c>
    </row>
    <row r="57">
      <c r="A57" s="16" t="s">
        <v>80</v>
      </c>
      <c r="B57" s="1">
        <v>0.601935999999998</v>
      </c>
      <c r="C57" s="1">
        <v>124.199</v>
      </c>
      <c r="D57" s="1">
        <v>41.3747</v>
      </c>
      <c r="E57" s="1">
        <v>4.2453</v>
      </c>
      <c r="K57" s="22" t="s">
        <v>131</v>
      </c>
      <c r="L57" s="9">
        <v>0.398690999999997</v>
      </c>
      <c r="M57" s="9">
        <v>39.3584</v>
      </c>
      <c r="N57" s="9">
        <v>-43.4659</v>
      </c>
      <c r="O57" s="9">
        <v>5.2078</v>
      </c>
    </row>
    <row r="58">
      <c r="A58" s="16" t="s">
        <v>81</v>
      </c>
      <c r="B58" s="1">
        <v>0.703777999999993</v>
      </c>
      <c r="C58" s="1">
        <v>118.3269</v>
      </c>
      <c r="D58" s="1">
        <v>35.5026</v>
      </c>
      <c r="E58" s="1">
        <v>3.9583</v>
      </c>
    </row>
    <row r="59">
      <c r="A59" s="16" t="s">
        <v>82</v>
      </c>
      <c r="B59" s="1">
        <v>0.834094999999983</v>
      </c>
      <c r="C59" s="1">
        <v>106.2253</v>
      </c>
      <c r="D59" s="1">
        <v>23.401</v>
      </c>
      <c r="E59" s="1">
        <v>3.8126</v>
      </c>
    </row>
    <row r="60">
      <c r="A60" s="16" t="s">
        <v>83</v>
      </c>
      <c r="B60" s="1">
        <v>0.880431999999981</v>
      </c>
      <c r="C60" s="1">
        <v>76.4307</v>
      </c>
      <c r="D60" s="1">
        <v>-6.3936</v>
      </c>
      <c r="E60" s="1">
        <v>4.0812</v>
      </c>
      <c r="K60" s="18" t="s">
        <v>459</v>
      </c>
      <c r="L60" s="1" t="s">
        <v>140</v>
      </c>
      <c r="M60" s="1" t="s">
        <v>141</v>
      </c>
    </row>
    <row r="61">
      <c r="A61" s="23" t="s">
        <v>114</v>
      </c>
      <c r="K61" s="1" t="s">
        <v>19</v>
      </c>
      <c r="L61" s="1">
        <v>0.128923485397687</v>
      </c>
      <c r="M61" s="1">
        <v>0.0553423024713993</v>
      </c>
    </row>
    <row r="62">
      <c r="A62" s="24" t="s">
        <v>62</v>
      </c>
      <c r="B62" s="4">
        <v>0.608049999999997</v>
      </c>
      <c r="C62" s="4">
        <v>60.1546</v>
      </c>
      <c r="D62" s="4">
        <v>-22.6697</v>
      </c>
      <c r="E62" s="4">
        <v>4.8055</v>
      </c>
      <c r="K62" s="1" t="s">
        <v>22</v>
      </c>
      <c r="L62" s="1">
        <v>0.134081000341328</v>
      </c>
      <c r="M62" s="1">
        <v>0.0634904213249683</v>
      </c>
    </row>
    <row r="63">
      <c r="A63" s="24" t="s">
        <v>63</v>
      </c>
      <c r="B63" s="1">
        <v>0.608052999999997</v>
      </c>
      <c r="C63" s="4">
        <v>60.1547</v>
      </c>
      <c r="D63" s="4">
        <v>-22.6697</v>
      </c>
      <c r="E63" s="4">
        <v>4.8055</v>
      </c>
      <c r="K63" s="1" t="s">
        <v>25</v>
      </c>
      <c r="L63" s="1">
        <v>0.140056742614696</v>
      </c>
      <c r="M63" s="1">
        <v>0.0741914957761764</v>
      </c>
    </row>
    <row r="64">
      <c r="A64" s="24" t="s">
        <v>64</v>
      </c>
      <c r="B64" s="1">
        <v>0.608066999999997</v>
      </c>
      <c r="C64" s="1">
        <v>60.1547</v>
      </c>
      <c r="D64" s="1">
        <v>-22.6696</v>
      </c>
      <c r="E64" s="4">
        <v>4.8054</v>
      </c>
      <c r="K64" s="1" t="s">
        <v>28</v>
      </c>
      <c r="L64" s="1">
        <v>0.148190004206909</v>
      </c>
      <c r="M64" s="1">
        <v>0.0888775467872619</v>
      </c>
    </row>
    <row r="65">
      <c r="A65" s="24" t="s">
        <v>65</v>
      </c>
      <c r="B65" s="1">
        <v>0.608177999999998</v>
      </c>
      <c r="C65" s="1">
        <v>60.1552</v>
      </c>
      <c r="D65" s="1">
        <v>-22.6691</v>
      </c>
      <c r="E65" s="1">
        <v>4.8052</v>
      </c>
      <c r="K65" s="1" t="s">
        <v>31</v>
      </c>
      <c r="L65" s="1">
        <v>0.157928267916593</v>
      </c>
      <c r="M65" s="1">
        <v>0.110189218074083</v>
      </c>
    </row>
    <row r="66">
      <c r="A66" s="24" t="s">
        <v>66</v>
      </c>
      <c r="B66" s="1">
        <v>0.608722999999999</v>
      </c>
      <c r="C66" s="1">
        <v>60.1587</v>
      </c>
      <c r="D66" s="1">
        <v>-22.6656</v>
      </c>
      <c r="E66" s="1">
        <v>4.8037</v>
      </c>
      <c r="K66" s="1" t="s">
        <v>34</v>
      </c>
      <c r="L66" s="1">
        <v>0.172100566484794</v>
      </c>
      <c r="M66" s="1">
        <v>0.143970833718776</v>
      </c>
    </row>
    <row r="67">
      <c r="A67" s="24" t="s">
        <v>67</v>
      </c>
      <c r="B67" s="4">
        <v>0.611392999999994</v>
      </c>
      <c r="C67" s="4">
        <v>60.1803</v>
      </c>
      <c r="D67" s="4">
        <v>-22.6441</v>
      </c>
      <c r="E67" s="4">
        <v>4.7963</v>
      </c>
      <c r="K67" s="1" t="s">
        <v>37</v>
      </c>
      <c r="L67" s="1">
        <v>0.190979508988077</v>
      </c>
      <c r="M67" s="1">
        <v>0.205203644931316</v>
      </c>
    </row>
    <row r="68">
      <c r="A68" s="24" t="s">
        <v>68</v>
      </c>
      <c r="B68" s="1">
        <v>0.621622999999995</v>
      </c>
      <c r="C68" s="1">
        <v>60.3</v>
      </c>
      <c r="D68" s="1">
        <v>-22.5243</v>
      </c>
      <c r="E68" s="1">
        <v>4.7635</v>
      </c>
      <c r="K68" s="1" t="s">
        <v>109</v>
      </c>
      <c r="L68" s="1">
        <v>0.217894647461816</v>
      </c>
      <c r="M68" s="1">
        <v>0.348683080077171</v>
      </c>
    </row>
    <row r="69">
      <c r="A69" s="24" t="s">
        <v>69</v>
      </c>
      <c r="B69" s="1">
        <v>0.656325999999994</v>
      </c>
      <c r="C69" s="1">
        <v>60.9085</v>
      </c>
      <c r="D69" s="1">
        <v>-21.9158</v>
      </c>
      <c r="E69" s="1">
        <v>4.6428</v>
      </c>
    </row>
    <row r="70">
      <c r="A70" s="24" t="s">
        <v>70</v>
      </c>
      <c r="B70" s="1">
        <v>0.742192999999988</v>
      </c>
      <c r="C70" s="1">
        <v>63.6158</v>
      </c>
      <c r="D70" s="1">
        <v>-19.2086</v>
      </c>
      <c r="E70" s="1">
        <v>4.3102</v>
      </c>
    </row>
    <row r="71">
      <c r="A71" s="24" t="s">
        <v>71</v>
      </c>
      <c r="B71" s="1">
        <v>0.843434999999978</v>
      </c>
      <c r="C71" s="1">
        <v>73.4942</v>
      </c>
      <c r="D71" s="1">
        <v>-9.3302</v>
      </c>
      <c r="E71" s="1">
        <v>3.7785</v>
      </c>
    </row>
    <row r="72">
      <c r="A72" s="24" t="s">
        <v>72</v>
      </c>
      <c r="B72" s="1">
        <v>0.735140999999993</v>
      </c>
      <c r="C72" s="1">
        <v>103.8903</v>
      </c>
      <c r="D72" s="1">
        <v>21.066</v>
      </c>
      <c r="E72" s="1">
        <v>3.6021</v>
      </c>
    </row>
    <row r="73">
      <c r="A73" s="24" t="s">
        <v>73</v>
      </c>
      <c r="B73" s="4">
        <v>0.598157999999996</v>
      </c>
      <c r="C73" s="4">
        <v>111.5556</v>
      </c>
      <c r="D73" s="4">
        <v>28.7313</v>
      </c>
      <c r="E73" s="4">
        <v>4.8536</v>
      </c>
    </row>
    <row r="74">
      <c r="A74" s="24" t="s">
        <v>74</v>
      </c>
      <c r="B74" s="4">
        <v>0.598157999999996</v>
      </c>
      <c r="C74" s="4">
        <v>111.5556</v>
      </c>
      <c r="D74" s="4">
        <v>28.7313</v>
      </c>
      <c r="E74" s="4">
        <v>4.8536</v>
      </c>
    </row>
    <row r="75">
      <c r="A75" s="24" t="s">
        <v>75</v>
      </c>
      <c r="B75" s="1">
        <v>0.598166999999996</v>
      </c>
      <c r="C75" s="1">
        <v>111.5555</v>
      </c>
      <c r="D75" s="1">
        <v>28.7312</v>
      </c>
      <c r="E75" s="1">
        <v>4.8535</v>
      </c>
    </row>
    <row r="76">
      <c r="A76" s="24" t="s">
        <v>76</v>
      </c>
      <c r="B76" s="1">
        <v>0.598207999999995</v>
      </c>
      <c r="C76" s="1">
        <v>111.5549</v>
      </c>
      <c r="D76" s="1">
        <v>28.7306</v>
      </c>
      <c r="E76" s="1">
        <v>4.8532</v>
      </c>
    </row>
    <row r="77">
      <c r="A77" s="24" t="s">
        <v>77</v>
      </c>
      <c r="B77" s="1">
        <v>0.598451999999995</v>
      </c>
      <c r="C77" s="1">
        <v>111.5508</v>
      </c>
      <c r="D77" s="1">
        <v>28.7265</v>
      </c>
      <c r="E77" s="1">
        <v>4.8513</v>
      </c>
    </row>
    <row r="78">
      <c r="A78" s="24" t="s">
        <v>78</v>
      </c>
      <c r="B78" s="4">
        <v>0.600041999999998</v>
      </c>
      <c r="C78" s="4">
        <v>111.5259</v>
      </c>
      <c r="D78" s="4">
        <v>28.7015</v>
      </c>
      <c r="E78" s="4">
        <v>4.8415</v>
      </c>
    </row>
    <row r="79">
      <c r="A79" s="24" t="s">
        <v>79</v>
      </c>
      <c r="B79" s="1">
        <v>0.607694</v>
      </c>
      <c r="C79" s="1">
        <v>111.3873</v>
      </c>
      <c r="D79" s="1">
        <v>28.563</v>
      </c>
      <c r="E79" s="1">
        <v>4.7974</v>
      </c>
    </row>
    <row r="80">
      <c r="A80" s="24" t="s">
        <v>80</v>
      </c>
      <c r="B80" s="1">
        <v>0.639026999999997</v>
      </c>
      <c r="C80" s="1">
        <v>110.6895</v>
      </c>
      <c r="D80" s="1">
        <v>27.8652</v>
      </c>
      <c r="E80" s="1">
        <v>4.6298</v>
      </c>
    </row>
    <row r="81">
      <c r="A81" s="24" t="s">
        <v>81</v>
      </c>
      <c r="B81" s="1">
        <v>0.727388999999991</v>
      </c>
      <c r="C81" s="1">
        <v>107.6631</v>
      </c>
      <c r="D81" s="1">
        <v>24.8387</v>
      </c>
      <c r="E81" s="1">
        <v>4.1544</v>
      </c>
    </row>
    <row r="82">
      <c r="A82" s="24" t="s">
        <v>82</v>
      </c>
      <c r="B82" s="1">
        <v>0.855455999999981</v>
      </c>
      <c r="C82" s="1">
        <v>97.1378</v>
      </c>
      <c r="D82" s="1">
        <v>14.3135</v>
      </c>
      <c r="E82" s="1">
        <v>3.3229</v>
      </c>
    </row>
    <row r="83">
      <c r="A83" s="24" t="s">
        <v>83</v>
      </c>
      <c r="B83" s="1">
        <v>0.90597199999997</v>
      </c>
      <c r="C83" s="1">
        <v>65.6392</v>
      </c>
      <c r="D83" s="1">
        <v>-17.1852</v>
      </c>
      <c r="E83" s="1">
        <v>2.8911</v>
      </c>
    </row>
    <row r="85">
      <c r="A85" s="16" t="s">
        <v>662</v>
      </c>
      <c r="B85" s="1">
        <v>0.956366999999954</v>
      </c>
      <c r="C85" s="1">
        <v>63.3606</v>
      </c>
      <c r="D85" s="1">
        <v>-19.4638</v>
      </c>
      <c r="E85" s="1">
        <v>4.0525</v>
      </c>
    </row>
    <row r="86">
      <c r="A86" s="16" t="s">
        <v>461</v>
      </c>
      <c r="B86" s="1">
        <v>0.892249999999975</v>
      </c>
      <c r="C86" s="1">
        <v>85.1679</v>
      </c>
      <c r="D86" s="1">
        <v>2.3436</v>
      </c>
      <c r="E86" s="1">
        <v>4.0014</v>
      </c>
    </row>
    <row r="87">
      <c r="A87" s="16" t="s">
        <v>663</v>
      </c>
      <c r="B87" s="1">
        <v>0.981048999999937</v>
      </c>
      <c r="C87" s="1">
        <v>88.0141</v>
      </c>
      <c r="D87" s="1">
        <v>5.1897</v>
      </c>
      <c r="E87" s="1">
        <v>5.1075</v>
      </c>
    </row>
    <row r="89">
      <c r="A89" s="24" t="s">
        <v>664</v>
      </c>
      <c r="B89" s="1">
        <v>0.863581999999979</v>
      </c>
      <c r="C89" s="1">
        <v>91.2595</v>
      </c>
      <c r="D89" s="1">
        <v>8.4351</v>
      </c>
      <c r="E89" s="1">
        <v>8.2659</v>
      </c>
    </row>
    <row r="90">
      <c r="A90" s="24" t="s">
        <v>665</v>
      </c>
      <c r="B90" s="1">
        <v>0.874094999999976</v>
      </c>
      <c r="C90" s="1">
        <v>83.8675</v>
      </c>
      <c r="D90" s="1">
        <v>1.0432</v>
      </c>
      <c r="E90" s="1">
        <v>4.47</v>
      </c>
    </row>
    <row r="91">
      <c r="A91" s="23" t="s">
        <v>666</v>
      </c>
      <c r="B91" s="18">
        <v>0.877955999999977</v>
      </c>
      <c r="C91" s="18">
        <v>79.8753</v>
      </c>
      <c r="D91" s="18">
        <v>-2.949</v>
      </c>
      <c r="E91" s="18">
        <v>3.4091</v>
      </c>
    </row>
    <row r="92">
      <c r="A92" s="24" t="s">
        <v>667</v>
      </c>
      <c r="B92" s="1">
        <v>0.87494999999998</v>
      </c>
      <c r="C92" s="1">
        <v>78.4572</v>
      </c>
      <c r="D92" s="1">
        <v>-4.3671</v>
      </c>
      <c r="E92" s="1">
        <v>3.2841</v>
      </c>
    </row>
    <row r="93">
      <c r="A93" s="24" t="s">
        <v>668</v>
      </c>
      <c r="B93" s="1">
        <v>0.865334999999979</v>
      </c>
      <c r="C93" s="1">
        <v>78.4796</v>
      </c>
      <c r="D93" s="1">
        <v>-4.3448</v>
      </c>
      <c r="E93" s="1">
        <v>3.4408</v>
      </c>
    </row>
    <row r="94">
      <c r="B94" s="2"/>
      <c r="C94" s="2"/>
      <c r="D94" s="2"/>
      <c r="E94" s="2"/>
    </row>
    <row r="95">
      <c r="A95" s="24" t="s">
        <v>669</v>
      </c>
      <c r="B95" s="1">
        <v>0.88609599999998</v>
      </c>
      <c r="C95" s="1">
        <v>0.0019</v>
      </c>
      <c r="D95" s="1">
        <v>-82.8224</v>
      </c>
      <c r="E95" s="1">
        <v>6.9886</v>
      </c>
    </row>
    <row r="96">
      <c r="A96" s="24" t="s">
        <v>670</v>
      </c>
      <c r="B96" s="1">
        <v>0.899371999999979</v>
      </c>
      <c r="C96" s="1">
        <v>2.3551</v>
      </c>
      <c r="D96" s="1">
        <v>-80.4692</v>
      </c>
      <c r="E96" s="1">
        <v>7.1878</v>
      </c>
    </row>
    <row r="97">
      <c r="A97" s="24" t="s">
        <v>671</v>
      </c>
      <c r="B97" s="1">
        <v>0.907783999999976</v>
      </c>
      <c r="C97" s="1">
        <v>23.2738</v>
      </c>
      <c r="D97" s="1">
        <v>-59.5505</v>
      </c>
      <c r="E97" s="1">
        <v>12.8046</v>
      </c>
    </row>
    <row r="98">
      <c r="A98" s="24" t="s">
        <v>672</v>
      </c>
      <c r="B98" s="1">
        <v>0.913029999999974</v>
      </c>
      <c r="C98" s="1">
        <v>48.1086</v>
      </c>
      <c r="D98" s="1">
        <v>-34.7158</v>
      </c>
      <c r="E98" s="1">
        <v>7.0241</v>
      </c>
    </row>
    <row r="99">
      <c r="A99" s="24" t="s">
        <v>673</v>
      </c>
      <c r="B99" s="1">
        <v>0.915897999999967</v>
      </c>
      <c r="C99" s="1">
        <v>61.786</v>
      </c>
      <c r="D99" s="1">
        <v>-21.0383</v>
      </c>
      <c r="E99" s="1">
        <v>3.461</v>
      </c>
    </row>
    <row r="100">
      <c r="A100" s="23" t="s">
        <v>674</v>
      </c>
      <c r="B100" s="18">
        <v>0.916747999999969</v>
      </c>
      <c r="C100" s="18">
        <v>65.6392</v>
      </c>
      <c r="D100" s="18">
        <v>-17.1851</v>
      </c>
      <c r="E100" s="18">
        <v>2.8911</v>
      </c>
    </row>
    <row r="101">
      <c r="A101" s="24" t="s">
        <v>675</v>
      </c>
      <c r="B101" s="1">
        <v>0.915810999999969</v>
      </c>
      <c r="C101" s="1">
        <v>73.0601</v>
      </c>
      <c r="D101" s="1">
        <v>-9.7643</v>
      </c>
      <c r="E101" s="1">
        <v>2.9173</v>
      </c>
    </row>
    <row r="103">
      <c r="A103" s="24" t="s">
        <v>676</v>
      </c>
      <c r="B103" s="1">
        <v>0.982371999999938</v>
      </c>
      <c r="C103" s="1">
        <v>87.787</v>
      </c>
      <c r="D103" s="1">
        <v>4.9626</v>
      </c>
      <c r="E103" s="1">
        <v>4.8904</v>
      </c>
    </row>
    <row r="104">
      <c r="A104" s="23" t="s">
        <v>183</v>
      </c>
      <c r="B104" s="18">
        <v>0.984171999999939</v>
      </c>
      <c r="C104" s="18">
        <v>87.9993</v>
      </c>
      <c r="D104" s="18">
        <v>5.175</v>
      </c>
      <c r="E104" s="18">
        <v>5.093</v>
      </c>
    </row>
    <row r="105">
      <c r="A105" s="24" t="s">
        <v>184</v>
      </c>
      <c r="B105" s="1">
        <v>0.983782999999941</v>
      </c>
      <c r="C105" s="1">
        <v>88.113</v>
      </c>
      <c r="D105" s="1">
        <v>5.2886</v>
      </c>
      <c r="E105" s="1">
        <v>5.2026</v>
      </c>
    </row>
    <row r="107">
      <c r="A107" s="1" t="s">
        <v>185</v>
      </c>
      <c r="B107" s="1">
        <v>1.0</v>
      </c>
      <c r="C107" s="1">
        <v>2.0</v>
      </c>
      <c r="D107" s="1">
        <v>4.0</v>
      </c>
      <c r="E107" s="1">
        <v>8.0</v>
      </c>
      <c r="F107" s="1">
        <v>16.0</v>
      </c>
      <c r="G107" s="1">
        <v>32.0</v>
      </c>
      <c r="H107" s="1">
        <v>64.0</v>
      </c>
      <c r="I107" s="1">
        <v>128.0</v>
      </c>
      <c r="J107" s="1">
        <v>256.0</v>
      </c>
    </row>
    <row r="108">
      <c r="A108" s="24" t="s">
        <v>677</v>
      </c>
      <c r="B108" s="1"/>
      <c r="C108" s="1"/>
      <c r="D108" s="1">
        <v>0.654015999999993</v>
      </c>
      <c r="E108" s="1">
        <v>0.811961999999983</v>
      </c>
      <c r="F108" s="1">
        <v>0.86169199999998</v>
      </c>
      <c r="G108" s="1">
        <v>0.873708999999978</v>
      </c>
      <c r="H108" s="1">
        <v>0.876997999999978</v>
      </c>
      <c r="I108" s="1">
        <v>0.877582999999976</v>
      </c>
      <c r="J108" s="1">
        <v>0.877839999999976</v>
      </c>
    </row>
    <row r="109">
      <c r="A109" s="24" t="s">
        <v>674</v>
      </c>
      <c r="B109" s="1">
        <v>0.00292000000000007</v>
      </c>
      <c r="C109" s="1">
        <v>0.556662</v>
      </c>
      <c r="D109" s="1">
        <v>0.647214999999993</v>
      </c>
      <c r="E109" s="1">
        <v>0.825838999999983</v>
      </c>
      <c r="F109" s="1">
        <v>0.895713999999976</v>
      </c>
      <c r="G109" s="1">
        <v>0.911404999999971</v>
      </c>
      <c r="H109" s="1"/>
      <c r="I109" s="1"/>
      <c r="J109" s="1"/>
    </row>
    <row r="110">
      <c r="A110" s="24" t="s">
        <v>183</v>
      </c>
      <c r="B110" s="1">
        <v>0.00173999999999998</v>
      </c>
      <c r="C110" s="1">
        <v>0.611386999999994</v>
      </c>
      <c r="D110" s="1">
        <v>0.79796299999999</v>
      </c>
      <c r="E110" s="1">
        <v>0.933326999999964</v>
      </c>
      <c r="F110" s="1">
        <v>0.974561999999939</v>
      </c>
      <c r="G110" s="1">
        <v>0.981757999999941</v>
      </c>
      <c r="H110" s="1">
        <v>0.983629999999938</v>
      </c>
      <c r="I110" s="1">
        <v>0.983981999999939</v>
      </c>
      <c r="J110" s="1">
        <v>0.984146999999938</v>
      </c>
    </row>
    <row r="111">
      <c r="A111" s="1" t="s">
        <v>186</v>
      </c>
      <c r="B111" s="1">
        <v>1.0</v>
      </c>
      <c r="C111" s="1">
        <v>2.0</v>
      </c>
      <c r="D111" s="1">
        <v>4.0</v>
      </c>
      <c r="E111" s="1">
        <v>8.0</v>
      </c>
      <c r="F111" s="1">
        <v>16.0</v>
      </c>
      <c r="G111" s="1">
        <v>32.0</v>
      </c>
      <c r="H111" s="1">
        <v>64.0</v>
      </c>
      <c r="I111" s="1">
        <v>128.0</v>
      </c>
      <c r="J111" s="1">
        <v>256.0</v>
      </c>
    </row>
    <row r="112">
      <c r="A112" s="24" t="s">
        <v>171</v>
      </c>
      <c r="B112" s="1"/>
      <c r="C112" s="1"/>
      <c r="D112" s="1"/>
      <c r="E112" s="1"/>
      <c r="F112" s="1"/>
      <c r="G112" s="1"/>
      <c r="H112" s="1"/>
      <c r="I112" s="1"/>
      <c r="J112" s="1"/>
    </row>
    <row r="113">
      <c r="A113" s="24" t="s">
        <v>178</v>
      </c>
      <c r="B113" s="1"/>
      <c r="C113" s="1"/>
      <c r="D113" s="1"/>
      <c r="E113" s="1"/>
      <c r="F113" s="1"/>
      <c r="G113" s="1"/>
      <c r="H113" s="1"/>
      <c r="I113" s="1"/>
      <c r="J113" s="1"/>
    </row>
    <row r="114">
      <c r="A114" s="24" t="s">
        <v>183</v>
      </c>
      <c r="B114" s="1"/>
      <c r="C114" s="1"/>
      <c r="D114" s="1"/>
      <c r="E114" s="1"/>
      <c r="F114" s="1"/>
      <c r="G114" s="1"/>
      <c r="H114" s="1"/>
      <c r="I114" s="1"/>
      <c r="J114" s="1"/>
    </row>
    <row r="115">
      <c r="A115" s="1" t="s">
        <v>187</v>
      </c>
      <c r="B115" s="1">
        <v>1.0</v>
      </c>
      <c r="C115" s="1">
        <v>2.0</v>
      </c>
      <c r="D115" s="1">
        <v>4.0</v>
      </c>
      <c r="E115" s="1">
        <v>8.0</v>
      </c>
      <c r="F115" s="1">
        <v>16.0</v>
      </c>
      <c r="G115" s="1">
        <v>32.0</v>
      </c>
      <c r="H115" s="1">
        <v>64.0</v>
      </c>
      <c r="I115" s="1">
        <v>128.0</v>
      </c>
      <c r="J115" s="1">
        <v>256.0</v>
      </c>
    </row>
    <row r="116">
      <c r="A116" s="24" t="s">
        <v>171</v>
      </c>
      <c r="B116" s="1"/>
      <c r="C116" s="1"/>
      <c r="D116" s="1"/>
      <c r="E116" s="1"/>
      <c r="F116" s="1"/>
      <c r="G116" s="1"/>
      <c r="H116" s="1"/>
      <c r="I116" s="1"/>
      <c r="J116" s="1"/>
    </row>
    <row r="117">
      <c r="A117" s="24" t="s">
        <v>178</v>
      </c>
      <c r="B117" s="2"/>
      <c r="C117" s="1"/>
      <c r="D117" s="1"/>
      <c r="E117" s="1"/>
      <c r="F117" s="1"/>
      <c r="G117" s="1"/>
      <c r="H117" s="1"/>
      <c r="I117" s="1"/>
      <c r="J117" s="1"/>
    </row>
    <row r="118">
      <c r="A118" s="24" t="s">
        <v>183</v>
      </c>
      <c r="B118" s="2"/>
      <c r="C118" s="1"/>
      <c r="D118" s="1"/>
      <c r="E118" s="1"/>
      <c r="F118" s="1"/>
      <c r="G118" s="1"/>
      <c r="H118" s="1"/>
      <c r="I118" s="1"/>
      <c r="J118" s="1"/>
    </row>
    <row r="119">
      <c r="A119" s="1" t="s">
        <v>188</v>
      </c>
      <c r="B119" s="1">
        <v>1.0</v>
      </c>
      <c r="C119" s="1">
        <v>2.0</v>
      </c>
      <c r="D119" s="1">
        <v>4.0</v>
      </c>
      <c r="E119" s="1">
        <v>8.0</v>
      </c>
      <c r="F119" s="1">
        <v>16.0</v>
      </c>
      <c r="G119" s="1">
        <v>32.0</v>
      </c>
      <c r="H119" s="1">
        <v>64.0</v>
      </c>
      <c r="I119" s="1">
        <v>128.0</v>
      </c>
      <c r="J119" s="1">
        <v>256.0</v>
      </c>
    </row>
    <row r="120">
      <c r="A120" s="24" t="s">
        <v>677</v>
      </c>
      <c r="B120" s="2"/>
      <c r="C120" s="1">
        <v>0.407966999999999</v>
      </c>
      <c r="D120" s="1">
        <v>0.355861999999998</v>
      </c>
      <c r="E120" s="1">
        <v>0.521726000000002</v>
      </c>
      <c r="F120" s="1">
        <v>0.736647999999993</v>
      </c>
      <c r="G120" s="1">
        <v>0.771281999999991</v>
      </c>
      <c r="H120" s="1">
        <v>0.786025999999991</v>
      </c>
      <c r="I120" s="1">
        <v>0.789482999999985</v>
      </c>
      <c r="J120" s="1">
        <v>0.790248999999988</v>
      </c>
    </row>
    <row r="121">
      <c r="A121" s="24" t="s">
        <v>178</v>
      </c>
      <c r="B121" s="2"/>
      <c r="C121" s="1"/>
      <c r="D121" s="1"/>
      <c r="E121" s="1"/>
      <c r="F121" s="1"/>
      <c r="G121" s="1"/>
      <c r="H121" s="1"/>
      <c r="I121" s="1"/>
      <c r="J121" s="1"/>
    </row>
    <row r="122">
      <c r="A122" s="24" t="s">
        <v>183</v>
      </c>
      <c r="B122" s="2"/>
      <c r="C122" s="2"/>
      <c r="D122" s="2"/>
      <c r="E122" s="2"/>
      <c r="F122" s="2"/>
      <c r="G122" s="2"/>
      <c r="H122" s="2"/>
      <c r="I122" s="2"/>
      <c r="J122" s="2"/>
    </row>
    <row r="124">
      <c r="A124" s="24" t="s">
        <v>678</v>
      </c>
      <c r="B124" s="1">
        <v>0.919686999999972</v>
      </c>
      <c r="C124" s="1">
        <v>131.9888</v>
      </c>
      <c r="D124" s="1">
        <v>49.1645</v>
      </c>
      <c r="E124" s="1">
        <v>23.8213</v>
      </c>
    </row>
    <row r="125">
      <c r="A125" s="23" t="s">
        <v>679</v>
      </c>
      <c r="B125" s="18">
        <v>0.92212599999997</v>
      </c>
      <c r="C125" s="18">
        <v>95.6125</v>
      </c>
      <c r="D125" s="18">
        <v>12.7882</v>
      </c>
      <c r="E125" s="18">
        <v>10.7039</v>
      </c>
    </row>
    <row r="126">
      <c r="A126" s="24" t="s">
        <v>680</v>
      </c>
      <c r="B126" s="1">
        <v>0.919640999999969</v>
      </c>
      <c r="C126" s="1">
        <v>80.4235</v>
      </c>
      <c r="D126" s="1">
        <v>-2.4009</v>
      </c>
      <c r="E126" s="1">
        <v>5.4492</v>
      </c>
    </row>
    <row r="127">
      <c r="A127" s="24" t="s">
        <v>681</v>
      </c>
      <c r="B127" s="1">
        <v>0.901784999999979</v>
      </c>
      <c r="C127" s="1">
        <v>67.2524</v>
      </c>
      <c r="D127" s="1">
        <v>-15.5719</v>
      </c>
      <c r="E127" s="1">
        <v>3.5731</v>
      </c>
    </row>
    <row r="129">
      <c r="A129" s="24" t="s">
        <v>682</v>
      </c>
      <c r="B129" s="1">
        <v>0.973549999999944</v>
      </c>
      <c r="C129" s="1">
        <v>85.3155</v>
      </c>
      <c r="D129" s="1">
        <v>2.491</v>
      </c>
      <c r="E129" s="1">
        <v>2.7945</v>
      </c>
    </row>
    <row r="130">
      <c r="A130" s="23"/>
      <c r="B130" s="18"/>
      <c r="C130" s="18"/>
      <c r="D130" s="18"/>
      <c r="E130" s="18"/>
    </row>
    <row r="131">
      <c r="A131" s="23" t="s">
        <v>683</v>
      </c>
      <c r="B131" s="18">
        <v>0.97473699999994</v>
      </c>
      <c r="C131" s="18">
        <v>85.9447</v>
      </c>
      <c r="D131" s="18">
        <v>3.11204</v>
      </c>
      <c r="E131" s="18">
        <v>3.2813</v>
      </c>
    </row>
    <row r="132">
      <c r="A132" s="24" t="s">
        <v>684</v>
      </c>
      <c r="B132" s="1">
        <v>0.971034999999939</v>
      </c>
      <c r="C132" s="1">
        <v>86.5692</v>
      </c>
      <c r="D132" s="1">
        <v>3.7448</v>
      </c>
      <c r="E132" s="1">
        <v>3.864</v>
      </c>
    </row>
    <row r="135">
      <c r="A135" s="1" t="s">
        <v>201</v>
      </c>
      <c r="B135" s="1">
        <v>1.0</v>
      </c>
      <c r="C135" s="1">
        <v>2.0</v>
      </c>
      <c r="D135" s="1">
        <v>4.0</v>
      </c>
      <c r="E135" s="1">
        <v>8.0</v>
      </c>
      <c r="F135" s="1">
        <v>16.0</v>
      </c>
      <c r="G135" s="1">
        <v>32.0</v>
      </c>
      <c r="H135" s="1">
        <v>64.0</v>
      </c>
      <c r="I135" s="1">
        <v>128.0</v>
      </c>
      <c r="J135" s="1">
        <v>256.0</v>
      </c>
    </row>
    <row r="136">
      <c r="A136" s="24" t="s">
        <v>679</v>
      </c>
      <c r="B136" s="2"/>
      <c r="C136" s="1">
        <v>0.399217999999999</v>
      </c>
      <c r="D136" s="1">
        <v>0.560547000000001</v>
      </c>
      <c r="E136" s="1">
        <v>0.645239999999996</v>
      </c>
      <c r="F136" s="1">
        <v>0.852556999999983</v>
      </c>
      <c r="G136" s="1">
        <v>0.907245999999976</v>
      </c>
      <c r="H136" s="1">
        <v>0.918601999999972</v>
      </c>
      <c r="I136" s="1">
        <v>0.921189999999973</v>
      </c>
      <c r="J136" s="1">
        <v>0.921868999999968</v>
      </c>
    </row>
    <row r="137">
      <c r="E137" s="1">
        <v>0.730536999999992</v>
      </c>
      <c r="F137" s="1">
        <v>0.861707999999977</v>
      </c>
      <c r="G137" s="1">
        <v>0.907370999999979</v>
      </c>
      <c r="H137" s="1">
        <v>0.918599999999972</v>
      </c>
      <c r="I137" s="1">
        <v>0.921189999999973</v>
      </c>
      <c r="J137" s="1">
        <v>0.921868999999968</v>
      </c>
    </row>
    <row r="138">
      <c r="E138" s="1" t="s">
        <v>685</v>
      </c>
      <c r="F138" s="1" t="s">
        <v>686</v>
      </c>
      <c r="G138" s="1" t="s">
        <v>687</v>
      </c>
      <c r="H138" s="1" t="s">
        <v>688</v>
      </c>
      <c r="I138" s="1" t="s">
        <v>688</v>
      </c>
      <c r="J138" s="1" t="s">
        <v>688</v>
      </c>
    </row>
    <row r="140">
      <c r="A140" s="24" t="s">
        <v>689</v>
      </c>
      <c r="B140" s="1">
        <v>0.91902799999997</v>
      </c>
      <c r="C140" s="1">
        <v>139.209</v>
      </c>
      <c r="D140" s="1">
        <v>56.3847</v>
      </c>
      <c r="E140" s="1">
        <v>26.2529</v>
      </c>
    </row>
    <row r="141">
      <c r="A141" s="23" t="s">
        <v>690</v>
      </c>
      <c r="B141" s="18">
        <v>0.933197999999962</v>
      </c>
      <c r="C141" s="18">
        <v>93.4825</v>
      </c>
      <c r="D141" s="18">
        <v>10.6582</v>
      </c>
      <c r="E141" s="18">
        <v>8.6227</v>
      </c>
    </row>
    <row r="142">
      <c r="A142" s="24" t="s">
        <v>664</v>
      </c>
      <c r="B142" s="1">
        <v>0.932168999999964</v>
      </c>
      <c r="C142" s="1">
        <v>76.8358</v>
      </c>
      <c r="D142" s="1">
        <v>-5.9886</v>
      </c>
      <c r="E142" s="1">
        <v>3.6799</v>
      </c>
    </row>
    <row r="144">
      <c r="A144" s="40" t="s">
        <v>488</v>
      </c>
      <c r="B144" s="1">
        <v>0.966547999999949</v>
      </c>
      <c r="C144" s="1">
        <v>60.5629</v>
      </c>
      <c r="D144" s="1">
        <v>-22.264</v>
      </c>
      <c r="E144" s="1">
        <v>18.6973</v>
      </c>
    </row>
    <row r="145">
      <c r="A145" s="23" t="s">
        <v>691</v>
      </c>
      <c r="B145" s="18">
        <v>0.970358999999949</v>
      </c>
      <c r="C145" s="18">
        <v>85.604</v>
      </c>
      <c r="D145" s="18">
        <v>2.7797</v>
      </c>
      <c r="E145" s="18">
        <v>6.3679</v>
      </c>
    </row>
    <row r="146">
      <c r="A146" s="24" t="s">
        <v>489</v>
      </c>
      <c r="B146" s="1">
        <v>0.966031999999947</v>
      </c>
      <c r="C146" s="1">
        <v>95.6753</v>
      </c>
      <c r="D146" s="1">
        <v>12.85</v>
      </c>
      <c r="E146" s="1">
        <v>3.6396</v>
      </c>
    </row>
    <row r="147">
      <c r="C147" s="1"/>
      <c r="D147" s="1"/>
    </row>
    <row r="148">
      <c r="C148" s="1"/>
      <c r="D148" s="1"/>
    </row>
    <row r="149">
      <c r="A149" s="24" t="s">
        <v>491</v>
      </c>
      <c r="B149" s="1">
        <v>0.977277999999941</v>
      </c>
      <c r="C149" s="1">
        <v>86.0788</v>
      </c>
      <c r="D149" s="1">
        <v>3.2544</v>
      </c>
      <c r="E149" s="1">
        <v>3.42</v>
      </c>
    </row>
    <row r="150">
      <c r="A150" s="23" t="s">
        <v>492</v>
      </c>
      <c r="B150" s="18">
        <v>0.977385999999942</v>
      </c>
      <c r="C150" s="18">
        <v>86.6704</v>
      </c>
      <c r="D150" s="18">
        <v>3.8461</v>
      </c>
      <c r="E150" s="18">
        <v>3.9111</v>
      </c>
    </row>
    <row r="151">
      <c r="A151" s="24" t="s">
        <v>692</v>
      </c>
      <c r="B151" s="1">
        <v>0.975756999999946</v>
      </c>
      <c r="C151" s="1">
        <v>87.1154</v>
      </c>
      <c r="D151" s="1">
        <v>4.291</v>
      </c>
      <c r="E151" s="1">
        <v>4.3022</v>
      </c>
    </row>
    <row r="153">
      <c r="A153" s="23" t="s">
        <v>214</v>
      </c>
      <c r="B153" s="1">
        <v>1.0</v>
      </c>
      <c r="C153" s="1">
        <v>2.0</v>
      </c>
      <c r="D153" s="1">
        <v>4.0</v>
      </c>
      <c r="E153" s="1">
        <v>8.0</v>
      </c>
      <c r="F153" s="1">
        <v>16.0</v>
      </c>
      <c r="G153" s="1">
        <v>32.0</v>
      </c>
      <c r="H153" s="1">
        <v>64.0</v>
      </c>
      <c r="I153" s="1">
        <v>128.0</v>
      </c>
      <c r="J153" s="1">
        <v>256.0</v>
      </c>
    </row>
    <row r="154">
      <c r="A154" s="1">
        <v>0.0</v>
      </c>
    </row>
    <row r="155">
      <c r="A155" s="1">
        <f>1/64</f>
        <v>0.015625</v>
      </c>
      <c r="G155" s="1" t="s">
        <v>693</v>
      </c>
      <c r="J155" s="1" t="s">
        <v>694</v>
      </c>
    </row>
    <row r="156">
      <c r="A156" s="1">
        <f>1/32</f>
        <v>0.03125</v>
      </c>
      <c r="G156" s="1" t="s">
        <v>695</v>
      </c>
      <c r="J156" s="1" t="s">
        <v>696</v>
      </c>
    </row>
    <row r="157">
      <c r="A157" s="2">
        <f>3/64</f>
        <v>0.046875</v>
      </c>
      <c r="J157" s="1" t="s">
        <v>697</v>
      </c>
    </row>
    <row r="158">
      <c r="A158" s="2">
        <f>1/16</f>
        <v>0.0625</v>
      </c>
      <c r="J158" s="1" t="s">
        <v>698</v>
      </c>
    </row>
    <row r="159">
      <c r="A159" s="2">
        <f>5/64</f>
        <v>0.078125</v>
      </c>
    </row>
    <row r="160">
      <c r="A160" s="2">
        <f>3/32</f>
        <v>0.09375</v>
      </c>
    </row>
    <row r="161">
      <c r="A161" s="1">
        <f>7/64</f>
        <v>0.109375</v>
      </c>
    </row>
    <row r="162">
      <c r="A162" s="2">
        <f>1/8</f>
        <v>0.125</v>
      </c>
    </row>
    <row r="163">
      <c r="A163" s="1">
        <f>9/64</f>
        <v>0.140625</v>
      </c>
    </row>
    <row r="164">
      <c r="A164" s="1">
        <f>5/32</f>
        <v>0.15625</v>
      </c>
    </row>
    <row r="165">
      <c r="A165" s="2">
        <f>11/64</f>
        <v>0.171875</v>
      </c>
    </row>
    <row r="166">
      <c r="A166" s="1">
        <f>3/16</f>
        <v>0.1875</v>
      </c>
    </row>
    <row r="167">
      <c r="A167" s="2">
        <f>13/64</f>
        <v>0.203125</v>
      </c>
    </row>
    <row r="168">
      <c r="A168" s="2">
        <f>7/32</f>
        <v>0.21875</v>
      </c>
    </row>
    <row r="169">
      <c r="A169" s="2">
        <f>15/64</f>
        <v>0.234375</v>
      </c>
    </row>
    <row r="170">
      <c r="A170" s="2">
        <f>1/4</f>
        <v>0.25</v>
      </c>
    </row>
    <row r="172">
      <c r="A172" s="23" t="s">
        <v>214</v>
      </c>
      <c r="B172" s="1">
        <v>1.0</v>
      </c>
      <c r="C172" s="1">
        <v>2.0</v>
      </c>
      <c r="D172" s="1">
        <v>4.0</v>
      </c>
      <c r="E172" s="1">
        <v>8.0</v>
      </c>
      <c r="F172" s="1">
        <v>16.0</v>
      </c>
      <c r="G172" s="1">
        <v>32.0</v>
      </c>
      <c r="H172" s="1">
        <v>64.0</v>
      </c>
    </row>
    <row r="173">
      <c r="A173" s="1">
        <v>0.0</v>
      </c>
      <c r="B173" s="1"/>
      <c r="C173" s="1"/>
      <c r="D173" s="1"/>
      <c r="E173" s="1"/>
      <c r="F173" s="1"/>
      <c r="G173" s="1"/>
      <c r="H173" s="1">
        <v>0.75457499999999</v>
      </c>
    </row>
    <row r="174">
      <c r="A174" s="1">
        <f>1/64</f>
        <v>0.015625</v>
      </c>
      <c r="B174" s="32"/>
      <c r="C174" s="18"/>
      <c r="D174" s="18"/>
      <c r="E174" s="1"/>
      <c r="F174" s="1"/>
      <c r="G174" s="1"/>
      <c r="H174" s="1"/>
    </row>
    <row r="175">
      <c r="A175" s="1">
        <f>1/32</f>
        <v>0.03125</v>
      </c>
      <c r="C175" s="1"/>
      <c r="D175" s="1"/>
      <c r="E175" s="1"/>
      <c r="F175" s="1"/>
      <c r="G175" s="1"/>
      <c r="H175" s="1"/>
    </row>
    <row r="176">
      <c r="A176" s="2">
        <f>3/64</f>
        <v>0.046875</v>
      </c>
      <c r="C176" s="1"/>
      <c r="E176" s="1"/>
      <c r="F176" s="1"/>
      <c r="G176" s="1"/>
      <c r="H176" s="1"/>
    </row>
    <row r="177">
      <c r="A177" s="2">
        <f>1/16</f>
        <v>0.0625</v>
      </c>
      <c r="C177" s="1"/>
      <c r="D177" s="1"/>
      <c r="E177" s="1"/>
      <c r="F177" s="1"/>
      <c r="G177" s="1"/>
      <c r="H177" s="1"/>
    </row>
    <row r="178">
      <c r="A178" s="2">
        <f>5/64</f>
        <v>0.078125</v>
      </c>
      <c r="C178" s="1"/>
      <c r="E178" s="1"/>
      <c r="F178" s="1"/>
      <c r="G178" s="1"/>
      <c r="H178" s="1"/>
    </row>
    <row r="179">
      <c r="A179" s="2">
        <f>3/32</f>
        <v>0.09375</v>
      </c>
      <c r="C179" s="1"/>
      <c r="E179" s="1"/>
      <c r="F179" s="1"/>
      <c r="G179" s="33"/>
      <c r="H179" s="1"/>
    </row>
    <row r="180">
      <c r="A180" s="1">
        <f>7/64</f>
        <v>0.109375</v>
      </c>
      <c r="C180" s="1"/>
      <c r="E180" s="1"/>
      <c r="F180" s="1"/>
      <c r="G180" s="1"/>
      <c r="H180" s="33"/>
    </row>
    <row r="181">
      <c r="A181" s="2">
        <f>1/8</f>
        <v>0.125</v>
      </c>
      <c r="C181" s="1"/>
      <c r="E181" s="1"/>
      <c r="F181" s="1"/>
      <c r="G181" s="1"/>
      <c r="H181" s="1"/>
    </row>
    <row r="182">
      <c r="A182" s="1">
        <f>9/64</f>
        <v>0.140625</v>
      </c>
      <c r="C182" s="1"/>
      <c r="E182" s="18"/>
      <c r="F182" s="1"/>
      <c r="G182" s="1"/>
      <c r="H182" s="1"/>
    </row>
    <row r="183">
      <c r="A183" s="1">
        <f>5/32</f>
        <v>0.15625</v>
      </c>
      <c r="C183" s="1"/>
      <c r="E183" s="1"/>
      <c r="F183" s="1"/>
      <c r="G183" s="1"/>
      <c r="H183" s="1"/>
    </row>
    <row r="184">
      <c r="A184" s="2">
        <f>11/64</f>
        <v>0.171875</v>
      </c>
      <c r="C184" s="39"/>
      <c r="E184" s="1"/>
      <c r="F184" s="1"/>
      <c r="G184" s="1"/>
      <c r="H184" s="1"/>
    </row>
    <row r="185">
      <c r="A185" s="1">
        <f>3/16</f>
        <v>0.1875</v>
      </c>
      <c r="F185" s="1"/>
      <c r="G185" s="1"/>
      <c r="H185" s="1"/>
    </row>
    <row r="186">
      <c r="A186" s="2">
        <f>13/64</f>
        <v>0.203125</v>
      </c>
      <c r="F186" s="1"/>
      <c r="G186" s="1"/>
      <c r="H186" s="1"/>
    </row>
    <row r="187">
      <c r="A187" s="2">
        <f>7/32</f>
        <v>0.21875</v>
      </c>
      <c r="F187" s="18"/>
      <c r="G187" s="1"/>
      <c r="H187" s="1"/>
    </row>
    <row r="188">
      <c r="A188" s="2">
        <f>15/64</f>
        <v>0.234375</v>
      </c>
      <c r="F188" s="1"/>
      <c r="G188" s="1"/>
      <c r="H188" s="1" t="s">
        <v>699</v>
      </c>
    </row>
    <row r="189">
      <c r="A189" s="13">
        <f>1/4</f>
        <v>0.25</v>
      </c>
      <c r="B189" s="14"/>
      <c r="C189" s="14"/>
      <c r="D189" s="14"/>
      <c r="E189" s="14"/>
      <c r="F189" s="14"/>
      <c r="G189" s="34"/>
      <c r="H189" s="34" t="s">
        <v>700</v>
      </c>
    </row>
    <row r="190">
      <c r="A190" s="2">
        <f>17/64</f>
        <v>0.265625</v>
      </c>
      <c r="G190" s="1"/>
      <c r="H190" s="1" t="s">
        <v>701</v>
      </c>
    </row>
    <row r="192">
      <c r="A192" s="23" t="s">
        <v>373</v>
      </c>
      <c r="B192" s="1">
        <v>1.0</v>
      </c>
      <c r="C192" s="1">
        <v>2.0</v>
      </c>
      <c r="D192" s="1">
        <v>4.0</v>
      </c>
      <c r="E192" s="1">
        <v>8.0</v>
      </c>
      <c r="F192" s="1">
        <v>16.0</v>
      </c>
      <c r="G192" s="1">
        <v>32.0</v>
      </c>
      <c r="H192" s="1">
        <v>64.0</v>
      </c>
    </row>
    <row r="193">
      <c r="A193" s="1">
        <v>0.0</v>
      </c>
      <c r="B193" s="1"/>
      <c r="C193" s="18"/>
      <c r="D193" s="1"/>
      <c r="E193" s="1"/>
      <c r="F193" s="1"/>
      <c r="G193" s="1"/>
      <c r="H193" s="1">
        <v>0.75457499999999</v>
      </c>
    </row>
    <row r="194">
      <c r="A194" s="1">
        <f>1/64</f>
        <v>0.015625</v>
      </c>
      <c r="B194" s="32"/>
      <c r="D194" s="18"/>
      <c r="E194" s="1"/>
      <c r="F194" s="1"/>
      <c r="G194" s="1"/>
      <c r="H194" s="1"/>
    </row>
    <row r="195">
      <c r="A195" s="1">
        <f>1/32</f>
        <v>0.03125</v>
      </c>
      <c r="D195" s="1"/>
      <c r="E195" s="1"/>
      <c r="F195" s="1"/>
      <c r="G195" s="1"/>
      <c r="H195" s="1"/>
    </row>
    <row r="196">
      <c r="A196" s="2">
        <f>3/64</f>
        <v>0.046875</v>
      </c>
      <c r="E196" s="1"/>
      <c r="F196" s="1"/>
      <c r="G196" s="1"/>
      <c r="H196" s="1"/>
    </row>
    <row r="197">
      <c r="A197" s="2">
        <f>1/16</f>
        <v>0.0625</v>
      </c>
      <c r="E197" s="1"/>
      <c r="F197" s="1"/>
      <c r="G197" s="1"/>
      <c r="H197" s="1"/>
    </row>
    <row r="198">
      <c r="A198" s="2">
        <f>5/64</f>
        <v>0.078125</v>
      </c>
      <c r="E198" s="1"/>
      <c r="F198" s="1"/>
      <c r="G198" s="1"/>
      <c r="H198" s="1"/>
    </row>
    <row r="199">
      <c r="A199" s="2">
        <f>3/32</f>
        <v>0.09375</v>
      </c>
      <c r="E199" s="1"/>
      <c r="F199" s="1"/>
      <c r="G199" s="33"/>
      <c r="H199" s="1"/>
    </row>
    <row r="200">
      <c r="A200" s="1">
        <f>7/64</f>
        <v>0.109375</v>
      </c>
      <c r="E200" s="1"/>
      <c r="F200" s="1"/>
      <c r="G200" s="1"/>
      <c r="H200" s="33"/>
    </row>
    <row r="201">
      <c r="A201" s="2">
        <f>1/8</f>
        <v>0.125</v>
      </c>
      <c r="E201" s="1"/>
      <c r="F201" s="1"/>
      <c r="G201" s="1"/>
      <c r="H201" s="1"/>
    </row>
    <row r="202">
      <c r="A202" s="1">
        <f>9/64</f>
        <v>0.140625</v>
      </c>
      <c r="E202" s="1"/>
      <c r="F202" s="1"/>
      <c r="G202" s="1"/>
      <c r="H202" s="1"/>
    </row>
    <row r="203">
      <c r="A203" s="1">
        <f>5/32</f>
        <v>0.15625</v>
      </c>
      <c r="E203" s="1"/>
      <c r="F203" s="1"/>
      <c r="G203" s="1"/>
      <c r="H203" s="1"/>
    </row>
    <row r="204">
      <c r="A204" s="2">
        <f>11/64</f>
        <v>0.171875</v>
      </c>
      <c r="E204" s="1"/>
      <c r="F204" s="1"/>
      <c r="G204" s="1"/>
      <c r="H204" s="1"/>
    </row>
    <row r="205">
      <c r="A205" s="1">
        <f>3/16</f>
        <v>0.1875</v>
      </c>
      <c r="E205" s="1"/>
      <c r="F205" s="1"/>
      <c r="G205" s="1"/>
      <c r="H205" s="1"/>
    </row>
    <row r="206">
      <c r="A206" s="2">
        <f>13/64</f>
        <v>0.203125</v>
      </c>
      <c r="E206" s="18"/>
      <c r="F206" s="1"/>
      <c r="G206" s="1"/>
      <c r="H206" s="1"/>
    </row>
    <row r="207">
      <c r="A207" s="2">
        <f>7/32</f>
        <v>0.21875</v>
      </c>
      <c r="E207" s="1"/>
      <c r="F207" s="1"/>
      <c r="G207" s="1"/>
      <c r="H207" s="1"/>
    </row>
    <row r="208">
      <c r="A208" s="2">
        <f>15/64</f>
        <v>0.234375</v>
      </c>
      <c r="F208" s="1"/>
      <c r="G208" s="1"/>
      <c r="H208" s="1"/>
    </row>
    <row r="209">
      <c r="A209" s="2">
        <f>1/4</f>
        <v>0.25</v>
      </c>
      <c r="F209" s="1"/>
      <c r="G209" s="1"/>
      <c r="H209" s="1" t="s">
        <v>702</v>
      </c>
    </row>
    <row r="210">
      <c r="A210" s="2">
        <f>17/64</f>
        <v>0.265625</v>
      </c>
      <c r="F210" s="1" t="s">
        <v>703</v>
      </c>
      <c r="G210" s="1"/>
      <c r="H210" s="1" t="s">
        <v>704</v>
      </c>
    </row>
    <row r="211">
      <c r="A211" s="2">
        <f>9/32</f>
        <v>0.28125</v>
      </c>
      <c r="E211" s="1" t="s">
        <v>705</v>
      </c>
      <c r="F211" s="34" t="s">
        <v>706</v>
      </c>
      <c r="G211" s="1" t="s">
        <v>707</v>
      </c>
      <c r="H211" s="1" t="s">
        <v>708</v>
      </c>
    </row>
    <row r="212">
      <c r="A212" s="2">
        <f>19/64</f>
        <v>0.296875</v>
      </c>
      <c r="F212" s="1" t="s">
        <v>709</v>
      </c>
      <c r="G212" s="18" t="s">
        <v>710</v>
      </c>
      <c r="H212" s="1" t="s">
        <v>711</v>
      </c>
    </row>
    <row r="213">
      <c r="A213" s="13">
        <f>5/16</f>
        <v>0.3125</v>
      </c>
      <c r="B213" s="14"/>
      <c r="C213" s="14"/>
      <c r="D213" s="14"/>
      <c r="E213" s="14"/>
      <c r="F213" s="14"/>
      <c r="G213" s="9" t="s">
        <v>712</v>
      </c>
      <c r="H213" s="34" t="s">
        <v>713</v>
      </c>
    </row>
    <row r="214">
      <c r="A214" s="2">
        <f>21/64</f>
        <v>0.328125</v>
      </c>
      <c r="H214" s="1" t="s">
        <v>714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4.13"/>
    <col customWidth="1" min="5" max="5" width="27.5"/>
    <col customWidth="1" min="6" max="6" width="24.0"/>
    <col customWidth="1" min="7" max="7" width="29.25"/>
    <col customWidth="1" min="8" max="8" width="49.0"/>
    <col customWidth="1" min="10" max="10" width="25.88"/>
    <col customWidth="1" min="11" max="11" width="17.5"/>
    <col customWidth="1" min="16" max="16" width="23.75"/>
  </cols>
  <sheetData>
    <row r="1">
      <c r="A1" s="1">
        <v>0.951308999999962</v>
      </c>
    </row>
    <row r="2">
      <c r="A2" s="3" t="s">
        <v>6</v>
      </c>
      <c r="B2" s="1" t="s">
        <v>93</v>
      </c>
      <c r="C2" s="1" t="s">
        <v>8</v>
      </c>
      <c r="D2" s="1" t="s">
        <v>9</v>
      </c>
      <c r="E2" s="1" t="s">
        <v>10</v>
      </c>
    </row>
    <row r="3">
      <c r="A3" s="4" t="s">
        <v>11</v>
      </c>
      <c r="B3" s="1">
        <v>1.0</v>
      </c>
      <c r="C3" s="4">
        <v>86.0532</v>
      </c>
      <c r="D3" s="4">
        <v>86.0532</v>
      </c>
      <c r="E3" s="1">
        <v>4.9448</v>
      </c>
      <c r="F3" s="5" t="s">
        <v>12</v>
      </c>
      <c r="K3" s="21" t="s">
        <v>104</v>
      </c>
    </row>
    <row r="4">
      <c r="A4" s="5" t="s">
        <v>16</v>
      </c>
      <c r="B4" s="1"/>
      <c r="C4" s="1" t="s">
        <v>8</v>
      </c>
      <c r="D4" s="1" t="s">
        <v>14</v>
      </c>
      <c r="E4" s="1" t="s">
        <v>15</v>
      </c>
      <c r="F4" s="5" t="s">
        <v>16</v>
      </c>
      <c r="H4" s="1" t="s">
        <v>8</v>
      </c>
      <c r="I4" s="1" t="s">
        <v>14</v>
      </c>
      <c r="J4" s="1" t="s">
        <v>15</v>
      </c>
      <c r="K4" s="21" t="s">
        <v>105</v>
      </c>
      <c r="M4" s="1" t="s">
        <v>8</v>
      </c>
      <c r="N4" s="1" t="s">
        <v>14</v>
      </c>
      <c r="O4" s="1" t="s">
        <v>15</v>
      </c>
      <c r="P4" s="6" t="s">
        <v>13</v>
      </c>
      <c r="Q4" s="1"/>
      <c r="R4" s="1" t="s">
        <v>8</v>
      </c>
      <c r="S4" s="1" t="s">
        <v>14</v>
      </c>
      <c r="T4" s="1" t="s">
        <v>15</v>
      </c>
      <c r="U4" s="1" t="s">
        <v>106</v>
      </c>
      <c r="V4" s="1" t="s">
        <v>107</v>
      </c>
    </row>
    <row r="5">
      <c r="A5" s="8" t="s">
        <v>18</v>
      </c>
      <c r="B5" s="4">
        <v>0.999999</v>
      </c>
      <c r="C5" s="4">
        <v>82.6772</v>
      </c>
      <c r="D5" s="4">
        <v>-3.376</v>
      </c>
      <c r="E5" s="4">
        <v>0.9014</v>
      </c>
      <c r="F5" s="8" t="s">
        <v>19</v>
      </c>
      <c r="G5" s="1">
        <v>1.0</v>
      </c>
      <c r="H5" s="4">
        <v>86.0532</v>
      </c>
      <c r="I5" s="1">
        <v>0.0</v>
      </c>
      <c r="J5" s="1">
        <v>0.0</v>
      </c>
      <c r="K5" s="22" t="s">
        <v>19</v>
      </c>
      <c r="L5" s="1">
        <v>0.988760999999952</v>
      </c>
      <c r="M5" s="1">
        <v>86.6269</v>
      </c>
      <c r="N5" s="1">
        <v>0.5737</v>
      </c>
      <c r="O5" s="1">
        <v>1.4606</v>
      </c>
      <c r="P5" s="7">
        <v>200.0</v>
      </c>
      <c r="Q5" s="1">
        <v>0.331122999999999</v>
      </c>
      <c r="R5" s="1">
        <v>86.084</v>
      </c>
      <c r="S5" s="1">
        <v>0.0308</v>
      </c>
      <c r="T5" s="1">
        <v>6.3106</v>
      </c>
      <c r="U5" s="1">
        <f t="shared" ref="U5:U44" si="1">SQRT(1/(4*P5))*180</f>
        <v>6.363961031</v>
      </c>
      <c r="V5" s="1">
        <v>0.345232999999999</v>
      </c>
      <c r="W5" s="1">
        <v>0.616517999999994</v>
      </c>
    </row>
    <row r="6">
      <c r="A6" s="8" t="s">
        <v>21</v>
      </c>
      <c r="B6" s="4">
        <v>0.999992</v>
      </c>
      <c r="C6" s="4">
        <v>82.2049</v>
      </c>
      <c r="D6" s="4">
        <v>-3.8482</v>
      </c>
      <c r="E6" s="4">
        <v>0.952</v>
      </c>
      <c r="F6" s="8" t="s">
        <v>22</v>
      </c>
      <c r="G6" s="1">
        <v>1.0</v>
      </c>
      <c r="H6" s="4">
        <v>86.0532</v>
      </c>
      <c r="I6" s="1">
        <v>0.0</v>
      </c>
      <c r="J6" s="1">
        <v>0.0</v>
      </c>
      <c r="K6" s="22" t="s">
        <v>22</v>
      </c>
      <c r="L6" s="1">
        <v>0.984479999999949</v>
      </c>
      <c r="M6" s="1">
        <v>86.6895</v>
      </c>
      <c r="N6" s="1">
        <v>0.6363</v>
      </c>
      <c r="O6" s="1">
        <v>1.5567</v>
      </c>
      <c r="P6" s="7">
        <v>400.0</v>
      </c>
      <c r="Q6" s="1">
        <v>0.548709999999998</v>
      </c>
      <c r="R6" s="1">
        <v>86.0447</v>
      </c>
      <c r="S6" s="1">
        <v>-0.0085</v>
      </c>
      <c r="T6" s="1">
        <v>4.4697</v>
      </c>
      <c r="U6" s="1">
        <f t="shared" si="1"/>
        <v>4.5</v>
      </c>
      <c r="V6" s="1">
        <v>0.380585999999999</v>
      </c>
      <c r="W6" s="1">
        <v>0.814185999999984</v>
      </c>
    </row>
    <row r="7">
      <c r="A7" s="8" t="s">
        <v>24</v>
      </c>
      <c r="B7" s="4">
        <v>0.999959999999999</v>
      </c>
      <c r="C7" s="4">
        <v>81.585</v>
      </c>
      <c r="D7" s="4">
        <v>-4.4681</v>
      </c>
      <c r="E7" s="4">
        <v>1.0131</v>
      </c>
      <c r="F7" s="8" t="s">
        <v>25</v>
      </c>
      <c r="G7" s="1">
        <v>1.0</v>
      </c>
      <c r="H7" s="4">
        <v>86.0532</v>
      </c>
      <c r="I7" s="1">
        <v>0.0</v>
      </c>
      <c r="J7" s="1">
        <v>0.0</v>
      </c>
      <c r="K7" s="22" t="s">
        <v>25</v>
      </c>
      <c r="L7" s="1">
        <v>0.977374999999947</v>
      </c>
      <c r="M7" s="1">
        <v>86.7673</v>
      </c>
      <c r="N7" s="1">
        <v>0.7141</v>
      </c>
      <c r="O7" s="1">
        <v>1.6735</v>
      </c>
      <c r="P7" s="7">
        <v>600.0</v>
      </c>
      <c r="Q7" s="1">
        <v>0.676232999999988</v>
      </c>
      <c r="R7" s="1">
        <v>86.074</v>
      </c>
      <c r="S7" s="1">
        <v>0.0208</v>
      </c>
      <c r="T7" s="1">
        <v>3.6516</v>
      </c>
      <c r="U7" s="1">
        <f t="shared" si="1"/>
        <v>3.674234614</v>
      </c>
      <c r="V7" s="1">
        <v>0.38898</v>
      </c>
      <c r="W7" s="1">
        <v>0.897007999999977</v>
      </c>
    </row>
    <row r="8">
      <c r="A8" s="8" t="s">
        <v>27</v>
      </c>
      <c r="B8" s="4">
        <v>0.999829999999997</v>
      </c>
      <c r="C8" s="4">
        <v>80.7321</v>
      </c>
      <c r="D8" s="4">
        <v>-5.321</v>
      </c>
      <c r="E8" s="4">
        <v>1.0889</v>
      </c>
      <c r="F8" s="8" t="s">
        <v>28</v>
      </c>
      <c r="G8" s="1">
        <v>1.0</v>
      </c>
      <c r="H8" s="4">
        <v>86.0532</v>
      </c>
      <c r="I8" s="1">
        <v>0.0</v>
      </c>
      <c r="J8" s="1">
        <v>0.0</v>
      </c>
      <c r="K8" s="22" t="s">
        <v>28</v>
      </c>
      <c r="L8" s="1">
        <v>0.965620999999953</v>
      </c>
      <c r="M8" s="1">
        <v>86.8667</v>
      </c>
      <c r="N8" s="1">
        <v>0.8135</v>
      </c>
      <c r="O8" s="1">
        <v>1.8204</v>
      </c>
      <c r="P8" s="7">
        <v>800.0</v>
      </c>
      <c r="Q8" s="1">
        <v>0.757732999999986</v>
      </c>
      <c r="R8" s="1">
        <v>85.847</v>
      </c>
      <c r="S8" s="1">
        <v>-0.2062</v>
      </c>
      <c r="T8" s="1">
        <v>3.1492</v>
      </c>
      <c r="U8" s="1">
        <f t="shared" si="1"/>
        <v>3.181980515</v>
      </c>
      <c r="V8" s="1">
        <v>0.391177</v>
      </c>
      <c r="W8" s="1">
        <v>0.940667999999973</v>
      </c>
    </row>
    <row r="9">
      <c r="A9" s="8" t="s">
        <v>30</v>
      </c>
      <c r="B9" s="4">
        <v>0.99930099999999</v>
      </c>
      <c r="C9" s="4">
        <v>79.4837</v>
      </c>
      <c r="D9" s="4">
        <v>-6.5695</v>
      </c>
      <c r="E9" s="4">
        <v>1.1844</v>
      </c>
      <c r="F9" s="8" t="s">
        <v>31</v>
      </c>
      <c r="G9" s="1">
        <v>1.0</v>
      </c>
      <c r="H9" s="4">
        <v>86.0532</v>
      </c>
      <c r="I9" s="1">
        <v>0.0</v>
      </c>
      <c r="J9" s="1">
        <v>0.0</v>
      </c>
      <c r="K9" s="22" t="s">
        <v>31</v>
      </c>
      <c r="L9" s="1">
        <v>0.944057999999959</v>
      </c>
      <c r="M9" s="1">
        <v>87.0001</v>
      </c>
      <c r="N9" s="1">
        <v>0.947</v>
      </c>
      <c r="O9" s="1">
        <v>2.016</v>
      </c>
      <c r="P9" s="7">
        <v>1000.0</v>
      </c>
      <c r="Q9" s="1">
        <v>0.816825999999983</v>
      </c>
      <c r="R9" s="1">
        <v>86.0511</v>
      </c>
      <c r="S9" s="1">
        <v>-0.0021</v>
      </c>
      <c r="T9" s="1">
        <v>2.8241</v>
      </c>
      <c r="U9" s="1">
        <f t="shared" si="1"/>
        <v>2.846049894</v>
      </c>
      <c r="V9" s="1">
        <v>0.396638000000001</v>
      </c>
      <c r="W9" s="1">
        <v>0.961949999999962</v>
      </c>
    </row>
    <row r="10">
      <c r="A10" s="8" t="s">
        <v>33</v>
      </c>
      <c r="B10" s="4">
        <v>0.997260999999972</v>
      </c>
      <c r="C10" s="4">
        <v>77.4879</v>
      </c>
      <c r="D10" s="4">
        <v>-8.5653</v>
      </c>
      <c r="E10" s="4">
        <v>1.3133</v>
      </c>
      <c r="F10" s="8" t="s">
        <v>34</v>
      </c>
      <c r="G10" s="1">
        <v>1.0</v>
      </c>
      <c r="H10" s="4">
        <v>86.0532</v>
      </c>
      <c r="I10" s="1">
        <v>0.0</v>
      </c>
      <c r="J10" s="1">
        <v>0.0</v>
      </c>
      <c r="K10" s="22" t="s">
        <v>34</v>
      </c>
      <c r="L10" s="1">
        <v>0.900160999999975</v>
      </c>
      <c r="M10" s="1">
        <v>87.1875</v>
      </c>
      <c r="N10" s="1">
        <v>1.1343</v>
      </c>
      <c r="O10" s="1">
        <v>2.2973</v>
      </c>
      <c r="P10" s="7">
        <v>1200.0</v>
      </c>
      <c r="Q10" s="1">
        <v>0.85531599999998</v>
      </c>
      <c r="R10" s="1">
        <v>85.8711</v>
      </c>
      <c r="S10" s="1">
        <v>-0.182</v>
      </c>
      <c r="T10" s="1">
        <v>2.6107</v>
      </c>
      <c r="U10" s="1">
        <f t="shared" si="1"/>
        <v>2.598076211</v>
      </c>
      <c r="V10" s="1">
        <v>0.396741999999998</v>
      </c>
      <c r="W10" s="1">
        <v>0.974809999999955</v>
      </c>
    </row>
    <row r="11">
      <c r="A11" s="8" t="s">
        <v>36</v>
      </c>
      <c r="B11" s="4">
        <v>0.988459999999949</v>
      </c>
      <c r="C11" s="4">
        <v>73.8103</v>
      </c>
      <c r="D11" s="4">
        <v>-12.2429</v>
      </c>
      <c r="E11" s="4">
        <v>1.5144</v>
      </c>
      <c r="F11" s="8" t="s">
        <v>37</v>
      </c>
      <c r="G11" s="1">
        <v>1.0</v>
      </c>
      <c r="H11" s="4">
        <v>86.0532</v>
      </c>
      <c r="I11" s="1">
        <v>0.0</v>
      </c>
      <c r="J11" s="1">
        <v>0.0</v>
      </c>
      <c r="K11" s="22" t="s">
        <v>37</v>
      </c>
      <c r="L11" s="1">
        <v>0.794731999999988</v>
      </c>
      <c r="M11" s="1">
        <v>87.4831</v>
      </c>
      <c r="N11" s="1">
        <v>1.4299</v>
      </c>
      <c r="O11" s="1">
        <v>2.759</v>
      </c>
      <c r="P11" s="7">
        <v>1400.0</v>
      </c>
      <c r="Q11" s="1">
        <v>0.887481999999977</v>
      </c>
      <c r="R11" s="1">
        <v>86.103</v>
      </c>
      <c r="S11" s="1">
        <v>0.0499</v>
      </c>
      <c r="T11" s="1">
        <v>2.3863</v>
      </c>
      <c r="U11" s="1">
        <f t="shared" si="1"/>
        <v>2.405351177</v>
      </c>
      <c r="V11" s="1">
        <v>0.396195999999999</v>
      </c>
      <c r="W11" s="1">
        <v>0.983767999999952</v>
      </c>
    </row>
    <row r="12">
      <c r="A12" s="8" t="s">
        <v>108</v>
      </c>
      <c r="B12" s="4">
        <v>0.934804999999969</v>
      </c>
      <c r="C12" s="4">
        <v>64.8729</v>
      </c>
      <c r="D12" s="4">
        <v>-21.1803</v>
      </c>
      <c r="E12" s="4">
        <v>1.9969</v>
      </c>
      <c r="F12" s="8" t="s">
        <v>109</v>
      </c>
      <c r="G12" s="1">
        <v>1.0</v>
      </c>
      <c r="H12" s="4">
        <v>86.0532</v>
      </c>
      <c r="I12" s="1">
        <v>0.0</v>
      </c>
      <c r="J12" s="1">
        <v>0.0</v>
      </c>
      <c r="K12" s="22" t="s">
        <v>109</v>
      </c>
      <c r="L12" s="1">
        <v>0.465272999999999</v>
      </c>
      <c r="M12" s="1">
        <v>88.0568</v>
      </c>
      <c r="N12" s="1">
        <v>2.0036</v>
      </c>
      <c r="O12" s="1">
        <v>3.8352</v>
      </c>
      <c r="P12" s="7">
        <v>1600.0</v>
      </c>
      <c r="Q12" s="1">
        <v>0.909066999999972</v>
      </c>
      <c r="R12" s="1">
        <v>85.9169</v>
      </c>
      <c r="S12" s="1">
        <v>-0.1362</v>
      </c>
      <c r="T12" s="1">
        <v>2.2297</v>
      </c>
      <c r="U12" s="1">
        <f t="shared" si="1"/>
        <v>2.25</v>
      </c>
      <c r="V12" s="1">
        <v>0.395733999999999</v>
      </c>
      <c r="W12" s="1">
        <v>0.988665999999949</v>
      </c>
    </row>
    <row r="13">
      <c r="A13" s="8" t="s">
        <v>39</v>
      </c>
      <c r="B13" s="4">
        <v>0.999577999999994</v>
      </c>
      <c r="C13" s="4">
        <v>89.4158</v>
      </c>
      <c r="D13" s="4">
        <v>3.3626</v>
      </c>
      <c r="E13" s="4">
        <v>0.9005</v>
      </c>
      <c r="F13" s="10" t="s">
        <v>40</v>
      </c>
      <c r="G13" s="4"/>
      <c r="H13" s="11"/>
      <c r="I13" s="11"/>
      <c r="J13" s="11"/>
      <c r="K13" s="21" t="s">
        <v>110</v>
      </c>
      <c r="M13" s="1" t="s">
        <v>8</v>
      </c>
      <c r="N13" s="1" t="s">
        <v>14</v>
      </c>
      <c r="O13" s="1" t="s">
        <v>15</v>
      </c>
      <c r="P13" s="7">
        <v>1800.0</v>
      </c>
      <c r="Q13" s="1">
        <v>0.926757999999977</v>
      </c>
      <c r="R13" s="1">
        <v>86.2144</v>
      </c>
      <c r="S13" s="1">
        <v>0.1612</v>
      </c>
      <c r="T13" s="1">
        <v>2.1017</v>
      </c>
      <c r="U13" s="1">
        <f t="shared" si="1"/>
        <v>2.121320344</v>
      </c>
      <c r="V13" s="1">
        <v>0.400206999999998</v>
      </c>
      <c r="W13" s="1">
        <v>0.992371999999953</v>
      </c>
    </row>
    <row r="14">
      <c r="A14" s="8" t="s">
        <v>42</v>
      </c>
      <c r="B14" s="4">
        <v>0.999512999999993</v>
      </c>
      <c r="C14" s="4">
        <v>89.884</v>
      </c>
      <c r="D14" s="4">
        <v>3.8309</v>
      </c>
      <c r="E14" s="4">
        <v>0.9507</v>
      </c>
      <c r="F14" s="12" t="s">
        <v>19</v>
      </c>
      <c r="G14" s="1">
        <v>0.992594999999959</v>
      </c>
      <c r="H14" s="1">
        <v>86.1304</v>
      </c>
      <c r="I14" s="1">
        <v>0.0773</v>
      </c>
      <c r="J14" s="1">
        <v>1.538</v>
      </c>
      <c r="K14" s="22" t="s">
        <v>19</v>
      </c>
      <c r="L14" s="1">
        <v>0.991419999999956</v>
      </c>
      <c r="M14" s="1">
        <v>86.4036</v>
      </c>
      <c r="N14" s="1">
        <v>0.3505</v>
      </c>
      <c r="O14" s="1">
        <v>1.4489</v>
      </c>
      <c r="P14" s="7">
        <v>2000.0</v>
      </c>
      <c r="Q14" s="1">
        <v>0.940615999999969</v>
      </c>
      <c r="R14" s="1">
        <v>86.1419</v>
      </c>
      <c r="S14" s="1">
        <v>0.0887</v>
      </c>
      <c r="T14" s="1">
        <v>1.9981</v>
      </c>
      <c r="U14" s="1">
        <f t="shared" si="1"/>
        <v>2.01246118</v>
      </c>
      <c r="V14" s="1">
        <v>0.399707000000001</v>
      </c>
      <c r="W14" s="1">
        <v>0.994891999999958</v>
      </c>
    </row>
    <row r="15">
      <c r="A15" s="8" t="s">
        <v>44</v>
      </c>
      <c r="B15" s="4">
        <v>0.999404999999991</v>
      </c>
      <c r="C15" s="4">
        <v>90.4979</v>
      </c>
      <c r="D15" s="4">
        <v>4.4447</v>
      </c>
      <c r="E15" s="4">
        <v>1.0112</v>
      </c>
      <c r="F15" s="12" t="s">
        <v>22</v>
      </c>
      <c r="G15" s="1">
        <v>0.988407999999951</v>
      </c>
      <c r="H15" s="1">
        <v>86.1209</v>
      </c>
      <c r="I15" s="1">
        <v>0.0677</v>
      </c>
      <c r="J15" s="1">
        <v>1.6771</v>
      </c>
      <c r="K15" s="22" t="s">
        <v>22</v>
      </c>
      <c r="L15" s="1">
        <v>0.987613999999951</v>
      </c>
      <c r="M15" s="1">
        <v>86.4381</v>
      </c>
      <c r="N15" s="1">
        <v>0.3849</v>
      </c>
      <c r="O15" s="1">
        <v>1.5522</v>
      </c>
      <c r="P15" s="7">
        <v>2200.0</v>
      </c>
      <c r="Q15" s="1">
        <v>0.951308999999962</v>
      </c>
      <c r="R15" s="1">
        <v>85.9947</v>
      </c>
      <c r="S15" s="1">
        <v>-0.0585</v>
      </c>
      <c r="T15" s="1">
        <v>1.8914</v>
      </c>
      <c r="U15" s="1">
        <f t="shared" si="1"/>
        <v>1.918806447</v>
      </c>
      <c r="V15" s="1">
        <v>0.404876999999999</v>
      </c>
      <c r="W15" s="1">
        <v>0.996076999999962</v>
      </c>
    </row>
    <row r="16">
      <c r="A16" s="8" t="s">
        <v>45</v>
      </c>
      <c r="B16" s="4">
        <v>0.999246999999989</v>
      </c>
      <c r="C16" s="4">
        <v>91.3409</v>
      </c>
      <c r="D16" s="4">
        <v>5.2877</v>
      </c>
      <c r="E16" s="4">
        <v>1.086</v>
      </c>
      <c r="F16" s="12" t="s">
        <v>25</v>
      </c>
      <c r="G16" s="1">
        <v>0.981012999999949</v>
      </c>
      <c r="H16" s="1">
        <v>86.1013</v>
      </c>
      <c r="I16" s="1">
        <v>0.0481</v>
      </c>
      <c r="J16" s="1">
        <v>1.8623</v>
      </c>
      <c r="K16" s="22" t="s">
        <v>25</v>
      </c>
      <c r="L16" s="1">
        <v>0.981156999999948</v>
      </c>
      <c r="M16" s="1">
        <v>86.4796</v>
      </c>
      <c r="N16" s="1">
        <v>0.4264</v>
      </c>
      <c r="O16" s="1">
        <v>1.6805</v>
      </c>
      <c r="P16" s="7">
        <v>2400.0</v>
      </c>
      <c r="Q16" s="1">
        <v>0.95838099999996</v>
      </c>
      <c r="R16" s="1">
        <v>86.1299</v>
      </c>
      <c r="S16" s="1">
        <v>0.0767</v>
      </c>
      <c r="T16" s="1">
        <v>1.8299</v>
      </c>
      <c r="U16" s="1">
        <f t="shared" si="1"/>
        <v>1.837117307</v>
      </c>
      <c r="V16" s="1">
        <v>0.401377999999999</v>
      </c>
      <c r="W16" s="1">
        <v>0.996994999999968</v>
      </c>
    </row>
    <row r="17">
      <c r="A17" s="8" t="s">
        <v>46</v>
      </c>
      <c r="B17" s="4">
        <v>0.998977999999986</v>
      </c>
      <c r="C17" s="4">
        <v>92.5718</v>
      </c>
      <c r="D17" s="4">
        <v>6.5186</v>
      </c>
      <c r="E17" s="4">
        <v>1.1801</v>
      </c>
      <c r="F17" s="12" t="s">
        <v>28</v>
      </c>
      <c r="G17" s="1">
        <v>0.967261999999953</v>
      </c>
      <c r="H17" s="1">
        <v>86.0613</v>
      </c>
      <c r="I17" s="1">
        <v>0.0081</v>
      </c>
      <c r="J17" s="1">
        <v>2.1266</v>
      </c>
      <c r="K17" s="22" t="s">
        <v>28</v>
      </c>
      <c r="L17" s="1">
        <v>0.969814999999948</v>
      </c>
      <c r="M17" s="1">
        <v>86.5305</v>
      </c>
      <c r="N17" s="1">
        <v>0.4773</v>
      </c>
      <c r="O17" s="1">
        <v>1.8469</v>
      </c>
      <c r="P17" s="7">
        <v>2600.0</v>
      </c>
      <c r="Q17" s="1">
        <v>0.965488999999957</v>
      </c>
      <c r="R17" s="1">
        <v>86.1751</v>
      </c>
      <c r="S17" s="1">
        <v>0.1219</v>
      </c>
      <c r="T17" s="1">
        <v>1.7604</v>
      </c>
      <c r="U17" s="1">
        <f t="shared" si="1"/>
        <v>1.765045216</v>
      </c>
      <c r="V17" s="1">
        <v>0.404459999999997</v>
      </c>
      <c r="W17" s="1">
        <v>0.997983999999974</v>
      </c>
    </row>
    <row r="18">
      <c r="A18" s="8" t="s">
        <v>47</v>
      </c>
      <c r="B18" s="4">
        <v>0.998399999999978</v>
      </c>
      <c r="C18" s="4">
        <v>94.5317</v>
      </c>
      <c r="D18" s="4">
        <v>8.4786</v>
      </c>
      <c r="E18" s="4">
        <v>1.3069</v>
      </c>
      <c r="F18" s="12" t="s">
        <v>31</v>
      </c>
      <c r="G18" s="1">
        <v>0.938724999999964</v>
      </c>
      <c r="H18" s="1">
        <v>85.9766</v>
      </c>
      <c r="I18" s="1">
        <v>-0.0766</v>
      </c>
      <c r="J18" s="1">
        <v>2.55</v>
      </c>
      <c r="K18" s="22" t="s">
        <v>31</v>
      </c>
      <c r="L18" s="1">
        <v>0.947991999999962</v>
      </c>
      <c r="M18" s="1">
        <v>86.5956</v>
      </c>
      <c r="N18" s="1">
        <v>0.5424</v>
      </c>
      <c r="O18" s="1">
        <v>2.0782</v>
      </c>
      <c r="P18" s="7">
        <v>2800.0</v>
      </c>
      <c r="Q18" s="1">
        <v>0.970575999999952</v>
      </c>
      <c r="R18" s="1">
        <v>86.033</v>
      </c>
      <c r="S18" s="1">
        <v>-0.0202</v>
      </c>
      <c r="T18" s="1">
        <v>1.6866</v>
      </c>
      <c r="U18" s="1">
        <f t="shared" si="1"/>
        <v>1.700840129</v>
      </c>
      <c r="V18" s="1">
        <v>0.404134999999999</v>
      </c>
      <c r="W18" s="1">
        <v>0.998378999999979</v>
      </c>
    </row>
    <row r="19">
      <c r="A19" s="8" t="s">
        <v>48</v>
      </c>
      <c r="B19" s="4">
        <v>0.997119999999966</v>
      </c>
      <c r="C19" s="4">
        <v>98.1174</v>
      </c>
      <c r="D19" s="4">
        <v>12.0643</v>
      </c>
      <c r="E19" s="4">
        <v>1.5049</v>
      </c>
      <c r="F19" s="12" t="s">
        <v>34</v>
      </c>
      <c r="G19" s="1">
        <v>0.873684999999979</v>
      </c>
      <c r="H19" s="1">
        <v>85.7607</v>
      </c>
      <c r="I19" s="1">
        <v>-0.2925</v>
      </c>
      <c r="J19" s="1">
        <v>3.3888</v>
      </c>
      <c r="K19" s="22" t="s">
        <v>34</v>
      </c>
      <c r="L19" s="1">
        <v>0.902684999999972</v>
      </c>
      <c r="M19" s="1">
        <v>86.678</v>
      </c>
      <c r="N19" s="1">
        <v>0.6249</v>
      </c>
      <c r="O19" s="1">
        <v>2.4341</v>
      </c>
      <c r="P19" s="7">
        <v>3000.0</v>
      </c>
      <c r="Q19" s="1">
        <v>0.975765999999952</v>
      </c>
      <c r="R19" s="1">
        <v>86.1073</v>
      </c>
      <c r="S19" s="1">
        <v>0.0541</v>
      </c>
      <c r="T19" s="1">
        <v>1.6289</v>
      </c>
      <c r="U19" s="1">
        <f t="shared" si="1"/>
        <v>1.643167673</v>
      </c>
      <c r="V19" s="1">
        <v>0.402476999999998</v>
      </c>
      <c r="W19" s="1">
        <v>0.998944999999985</v>
      </c>
    </row>
    <row r="20">
      <c r="A20" s="8" t="s">
        <v>111</v>
      </c>
      <c r="B20" s="4">
        <v>0.991423999999949</v>
      </c>
      <c r="C20" s="4">
        <v>106.68</v>
      </c>
      <c r="D20" s="4">
        <v>20.6268</v>
      </c>
      <c r="E20" s="4">
        <v>1.9704</v>
      </c>
      <c r="F20" s="12" t="s">
        <v>37</v>
      </c>
      <c r="G20" s="1">
        <v>0.00120099999999997</v>
      </c>
      <c r="H20" s="1" t="s">
        <v>49</v>
      </c>
      <c r="I20" s="1" t="s">
        <v>49</v>
      </c>
      <c r="J20" s="1" t="s">
        <v>49</v>
      </c>
      <c r="K20" s="22" t="s">
        <v>37</v>
      </c>
      <c r="L20" s="1">
        <v>0.792242999999984</v>
      </c>
      <c r="M20" s="1">
        <v>86.7911</v>
      </c>
      <c r="N20" s="1">
        <v>0.7379</v>
      </c>
      <c r="O20" s="1">
        <v>3.0925</v>
      </c>
      <c r="P20" s="7">
        <v>3200.0</v>
      </c>
      <c r="Q20" s="1">
        <v>0.978903999999951</v>
      </c>
      <c r="R20" s="1">
        <v>86.0332</v>
      </c>
      <c r="S20" s="1">
        <v>-0.02</v>
      </c>
      <c r="T20" s="1">
        <v>1.584</v>
      </c>
      <c r="U20" s="1">
        <f t="shared" si="1"/>
        <v>1.590990258</v>
      </c>
      <c r="V20" s="1">
        <v>0.404785999999997</v>
      </c>
      <c r="W20" s="1">
        <v>0.999180999999987</v>
      </c>
    </row>
    <row r="21">
      <c r="A21" s="10" t="s">
        <v>40</v>
      </c>
      <c r="B21" s="4"/>
      <c r="C21" s="41"/>
      <c r="D21" s="41"/>
      <c r="E21" s="41"/>
      <c r="F21" s="12" t="s">
        <v>109</v>
      </c>
      <c r="G21" s="1">
        <v>8.87999999999986E-4</v>
      </c>
      <c r="H21" s="1" t="s">
        <v>49</v>
      </c>
      <c r="I21" s="1" t="s">
        <v>49</v>
      </c>
      <c r="J21" s="1" t="s">
        <v>49</v>
      </c>
      <c r="K21" s="22" t="s">
        <v>109</v>
      </c>
      <c r="L21" s="1">
        <v>0.465471999999998</v>
      </c>
      <c r="M21" s="1">
        <v>86.9572</v>
      </c>
      <c r="N21" s="1">
        <v>0.904</v>
      </c>
      <c r="O21" s="1">
        <v>5.0545</v>
      </c>
      <c r="P21" s="7">
        <v>3400.0</v>
      </c>
      <c r="Q21" s="1">
        <v>0.982218999999948</v>
      </c>
      <c r="R21" s="1">
        <v>86.0868</v>
      </c>
      <c r="S21" s="1">
        <v>0.0337</v>
      </c>
      <c r="T21" s="1">
        <v>1.5321</v>
      </c>
      <c r="U21" s="1">
        <f t="shared" si="1"/>
        <v>1.543487266</v>
      </c>
      <c r="V21" s="1">
        <v>0.402971999999999</v>
      </c>
      <c r="W21" s="1">
        <v>0.99932499999999</v>
      </c>
    </row>
    <row r="22">
      <c r="A22" s="12" t="s">
        <v>18</v>
      </c>
      <c r="B22" s="4">
        <v>0.979263999999957</v>
      </c>
      <c r="C22" s="4">
        <v>75.8899</v>
      </c>
      <c r="D22" s="4">
        <v>-10.1632</v>
      </c>
      <c r="E22" s="4">
        <v>2.142</v>
      </c>
      <c r="F22" s="15" t="s">
        <v>50</v>
      </c>
      <c r="K22" s="21" t="s">
        <v>112</v>
      </c>
      <c r="M22" s="1" t="s">
        <v>8</v>
      </c>
      <c r="N22" s="1" t="s">
        <v>14</v>
      </c>
      <c r="O22" s="1" t="s">
        <v>15</v>
      </c>
      <c r="P22" s="7">
        <v>3600.0</v>
      </c>
      <c r="Q22" s="1">
        <v>0.985044999999948</v>
      </c>
      <c r="R22" s="1">
        <v>86.137</v>
      </c>
      <c r="S22" s="1">
        <v>0.0838</v>
      </c>
      <c r="T22" s="1">
        <v>1.4891</v>
      </c>
      <c r="U22" s="1">
        <f t="shared" si="1"/>
        <v>1.5</v>
      </c>
      <c r="V22" s="1">
        <v>0.403410999999999</v>
      </c>
      <c r="W22" s="1">
        <v>0.999567999999992</v>
      </c>
    </row>
    <row r="23">
      <c r="A23" s="12" t="s">
        <v>21</v>
      </c>
      <c r="B23" s="4">
        <v>0.966810999999965</v>
      </c>
      <c r="C23" s="4">
        <v>74.3949</v>
      </c>
      <c r="D23" s="4">
        <v>-11.6582</v>
      </c>
      <c r="E23" s="4">
        <v>2.2575</v>
      </c>
      <c r="F23" s="16" t="s">
        <v>51</v>
      </c>
      <c r="G23" s="4">
        <v>0.71855499999999</v>
      </c>
      <c r="H23" s="4">
        <v>85.0112</v>
      </c>
      <c r="I23" s="4">
        <v>-1.042</v>
      </c>
      <c r="J23" s="4">
        <v>5.7149</v>
      </c>
      <c r="K23" s="22" t="s">
        <v>19</v>
      </c>
      <c r="L23" s="1">
        <v>0.989097999999956</v>
      </c>
      <c r="M23" s="1">
        <v>82.1752</v>
      </c>
      <c r="N23" s="1">
        <v>-3.8779</v>
      </c>
      <c r="O23" s="1">
        <v>1.655</v>
      </c>
      <c r="P23" s="7">
        <v>3800.0</v>
      </c>
      <c r="Q23" s="1">
        <v>0.986759999999948</v>
      </c>
      <c r="R23" s="1">
        <v>86.123</v>
      </c>
      <c r="S23" s="1">
        <v>0.0699</v>
      </c>
      <c r="T23" s="1">
        <v>1.4548</v>
      </c>
      <c r="U23" s="1">
        <f t="shared" si="1"/>
        <v>1.45999279</v>
      </c>
      <c r="V23" s="1">
        <v>0.404359999999999</v>
      </c>
      <c r="W23" s="1">
        <v>0.999653999999994</v>
      </c>
    </row>
    <row r="24">
      <c r="A24" s="12" t="s">
        <v>24</v>
      </c>
      <c r="B24" s="4">
        <v>0.947549999999969</v>
      </c>
      <c r="C24" s="4">
        <v>72.3969</v>
      </c>
      <c r="D24" s="4">
        <v>-13.6563</v>
      </c>
      <c r="E24" s="4">
        <v>2.3969</v>
      </c>
      <c r="F24" s="16" t="s">
        <v>52</v>
      </c>
      <c r="G24" s="1">
        <v>0.72621099999999</v>
      </c>
      <c r="H24" s="1">
        <v>85.0297</v>
      </c>
      <c r="I24" s="1">
        <v>-1.0235</v>
      </c>
      <c r="J24" s="1">
        <v>5.6293</v>
      </c>
      <c r="K24" s="22" t="s">
        <v>22</v>
      </c>
      <c r="L24" s="1">
        <v>0.981515999999953</v>
      </c>
      <c r="M24" s="1">
        <v>81.4839</v>
      </c>
      <c r="N24" s="1">
        <v>-4.5693</v>
      </c>
      <c r="O24" s="1">
        <v>1.7835</v>
      </c>
      <c r="P24" s="7">
        <v>4000.0</v>
      </c>
      <c r="Q24" s="1">
        <v>0.988796999999946</v>
      </c>
      <c r="R24" s="1">
        <v>86.0926</v>
      </c>
      <c r="S24" s="1">
        <v>0.0395</v>
      </c>
      <c r="T24" s="1">
        <v>1.4119</v>
      </c>
      <c r="U24" s="1">
        <f t="shared" si="1"/>
        <v>1.423024947</v>
      </c>
      <c r="V24" s="1">
        <v>0.403569999999999</v>
      </c>
      <c r="W24" s="1">
        <v>0.999725999999996</v>
      </c>
    </row>
    <row r="25">
      <c r="A25" s="12" t="s">
        <v>27</v>
      </c>
      <c r="B25" s="4">
        <v>0.916191999999974</v>
      </c>
      <c r="C25" s="4">
        <v>69.5756</v>
      </c>
      <c r="D25" s="4">
        <v>-16.4775</v>
      </c>
      <c r="E25" s="4">
        <v>2.571</v>
      </c>
      <c r="F25" s="16" t="s">
        <v>53</v>
      </c>
      <c r="G25" s="1">
        <v>0.737023999999989</v>
      </c>
      <c r="H25" s="1">
        <v>85.0602</v>
      </c>
      <c r="I25" s="1">
        <v>-0.9929</v>
      </c>
      <c r="J25" s="1">
        <v>5.5</v>
      </c>
      <c r="K25" s="22" t="s">
        <v>25</v>
      </c>
      <c r="L25" s="1">
        <v>0.968029999999958</v>
      </c>
      <c r="M25" s="1">
        <v>80.5057</v>
      </c>
      <c r="N25" s="1">
        <v>-5.5475</v>
      </c>
      <c r="O25" s="1">
        <v>1.9468</v>
      </c>
      <c r="P25" s="7">
        <v>4200.0</v>
      </c>
      <c r="Q25" s="1">
        <v>0.990517999999949</v>
      </c>
      <c r="R25" s="1">
        <v>86.0785</v>
      </c>
      <c r="S25" s="1">
        <v>0.0253</v>
      </c>
      <c r="T25" s="1">
        <v>1.3719</v>
      </c>
      <c r="U25" s="1">
        <f t="shared" si="1"/>
        <v>1.38873015</v>
      </c>
      <c r="V25" s="1">
        <v>0.403686999999999</v>
      </c>
      <c r="W25" s="1">
        <v>0.999756999999996</v>
      </c>
    </row>
    <row r="26">
      <c r="A26" s="12" t="s">
        <v>30</v>
      </c>
      <c r="B26" s="1">
        <v>0.864041999999983</v>
      </c>
      <c r="C26" s="4">
        <v>65.277</v>
      </c>
      <c r="D26" s="4">
        <v>-20.7761</v>
      </c>
      <c r="E26" s="4">
        <v>2.7969</v>
      </c>
      <c r="F26" s="16" t="s">
        <v>54</v>
      </c>
      <c r="G26" s="1">
        <v>0.752407999999988</v>
      </c>
      <c r="H26" s="1">
        <v>85.1109</v>
      </c>
      <c r="I26" s="1">
        <v>-0.9423</v>
      </c>
      <c r="J26" s="1">
        <v>5.3058</v>
      </c>
      <c r="K26" s="22" t="s">
        <v>28</v>
      </c>
      <c r="L26" s="1">
        <v>0.94361899999997</v>
      </c>
      <c r="M26" s="1">
        <v>79.0195</v>
      </c>
      <c r="N26" s="1">
        <v>-7.0337</v>
      </c>
      <c r="O26" s="1">
        <v>2.1639</v>
      </c>
      <c r="P26" s="7">
        <v>4400.0</v>
      </c>
      <c r="Q26" s="1">
        <v>0.99150799999995</v>
      </c>
      <c r="R26" s="1">
        <v>86.0988</v>
      </c>
      <c r="S26" s="1">
        <v>0.0456</v>
      </c>
      <c r="T26" s="1">
        <v>1.3562</v>
      </c>
      <c r="U26" s="1">
        <f t="shared" si="1"/>
        <v>1.356801051</v>
      </c>
      <c r="V26" s="1">
        <v>0.407245999999998</v>
      </c>
      <c r="W26" s="1">
        <v>0.999824999999997</v>
      </c>
    </row>
    <row r="27">
      <c r="A27" s="12" t="s">
        <v>33</v>
      </c>
      <c r="B27" s="4">
        <v>0.76915999999999</v>
      </c>
      <c r="C27" s="4">
        <v>57.8925</v>
      </c>
      <c r="D27" s="4">
        <v>-28.1606</v>
      </c>
      <c r="E27" s="4">
        <v>3.115</v>
      </c>
      <c r="F27" s="16" t="s">
        <v>55</v>
      </c>
      <c r="G27" s="1">
        <v>0.774181999999986</v>
      </c>
      <c r="H27" s="1">
        <v>85.1948</v>
      </c>
      <c r="I27" s="1">
        <v>-0.8584</v>
      </c>
      <c r="J27" s="1">
        <v>5.0161</v>
      </c>
      <c r="K27" s="22" t="s">
        <v>31</v>
      </c>
      <c r="L27" s="1">
        <v>0.897507999999977</v>
      </c>
      <c r="M27" s="1">
        <v>76.5134</v>
      </c>
      <c r="N27" s="1">
        <v>-9.5397</v>
      </c>
      <c r="O27" s="1">
        <v>2.4753</v>
      </c>
      <c r="P27" s="7">
        <v>4600.0</v>
      </c>
      <c r="Q27" s="1">
        <v>0.992878999999949</v>
      </c>
      <c r="R27" s="1">
        <v>86.2107</v>
      </c>
      <c r="S27" s="1">
        <v>0.1575</v>
      </c>
      <c r="T27" s="1">
        <v>1.3306</v>
      </c>
      <c r="U27" s="1">
        <f t="shared" si="1"/>
        <v>1.326977605</v>
      </c>
      <c r="V27" s="1">
        <v>0.403955999999999</v>
      </c>
      <c r="W27" s="1">
        <v>0.999838999999997</v>
      </c>
    </row>
    <row r="28">
      <c r="A28" s="12" t="s">
        <v>36</v>
      </c>
      <c r="B28" s="4">
        <v>0.00143199999999997</v>
      </c>
      <c r="C28" s="4">
        <v>41.1595</v>
      </c>
      <c r="D28" s="4">
        <v>-44.0837</v>
      </c>
      <c r="E28" s="4">
        <v>6.6211</v>
      </c>
      <c r="F28" s="16" t="s">
        <v>56</v>
      </c>
      <c r="G28" s="4">
        <v>0.804171999999988</v>
      </c>
      <c r="H28" s="4">
        <v>85.3338</v>
      </c>
      <c r="I28" s="4">
        <v>-0.7193</v>
      </c>
      <c r="J28" s="4">
        <v>4.588</v>
      </c>
      <c r="K28" s="22" t="s">
        <v>34</v>
      </c>
      <c r="L28" s="1">
        <v>0.803567999999985</v>
      </c>
      <c r="M28" s="1">
        <v>71.4728</v>
      </c>
      <c r="N28" s="1">
        <v>-14.5803</v>
      </c>
      <c r="O28" s="1">
        <v>2.9746</v>
      </c>
      <c r="P28" s="7">
        <v>4800.0</v>
      </c>
      <c r="Q28" s="1">
        <v>0.993726999999951</v>
      </c>
      <c r="R28" s="1">
        <v>85.952</v>
      </c>
      <c r="S28" s="1">
        <v>-0.1012</v>
      </c>
      <c r="T28" s="1">
        <v>1.2884</v>
      </c>
      <c r="U28" s="1">
        <f t="shared" si="1"/>
        <v>1.299038106</v>
      </c>
      <c r="V28" s="1">
        <v>0.404689</v>
      </c>
      <c r="W28" s="1">
        <v>0.999918999999998</v>
      </c>
    </row>
    <row r="29">
      <c r="A29" s="12" t="s">
        <v>108</v>
      </c>
      <c r="B29" s="4">
        <v>8.87999999999986E-4</v>
      </c>
      <c r="C29" s="4">
        <v>0.0</v>
      </c>
      <c r="D29" s="4">
        <v>-86.0532</v>
      </c>
      <c r="E29" s="4">
        <v>4.9488</v>
      </c>
      <c r="F29" s="16" t="s">
        <v>57</v>
      </c>
      <c r="G29" s="1">
        <v>0.84421399999998</v>
      </c>
      <c r="H29" s="1">
        <v>85.5641</v>
      </c>
      <c r="I29" s="1">
        <v>-0.489</v>
      </c>
      <c r="J29" s="1">
        <v>3.9661</v>
      </c>
      <c r="K29" s="22" t="s">
        <v>37</v>
      </c>
      <c r="L29" s="1">
        <v>0.590657999999995</v>
      </c>
      <c r="M29" s="1">
        <v>57.2662</v>
      </c>
      <c r="N29" s="1">
        <v>-28.7869</v>
      </c>
      <c r="O29" s="1">
        <v>3.8891</v>
      </c>
      <c r="P29" s="7">
        <v>5000.0</v>
      </c>
      <c r="Q29" s="1">
        <v>0.994502999999955</v>
      </c>
      <c r="R29" s="1">
        <v>86.0633</v>
      </c>
      <c r="S29" s="1">
        <v>0.0101</v>
      </c>
      <c r="T29" s="1">
        <v>1.264</v>
      </c>
      <c r="U29" s="1">
        <f t="shared" si="1"/>
        <v>1.272792206</v>
      </c>
      <c r="V29" s="1">
        <v>0.403394999999999</v>
      </c>
      <c r="W29" s="1">
        <v>0.999934999999998</v>
      </c>
    </row>
    <row r="30">
      <c r="A30" s="12" t="s">
        <v>39</v>
      </c>
      <c r="B30" s="4">
        <v>0.888213999999973</v>
      </c>
      <c r="C30" s="4">
        <v>97.7104</v>
      </c>
      <c r="D30" s="4">
        <v>11.6572</v>
      </c>
      <c r="E30" s="4">
        <v>2.2324</v>
      </c>
      <c r="F30" s="16" t="s">
        <v>58</v>
      </c>
      <c r="G30" s="1">
        <v>0.894995999999972</v>
      </c>
      <c r="H30" s="1">
        <v>85.944</v>
      </c>
      <c r="I30" s="1">
        <v>-0.1092</v>
      </c>
      <c r="J30" s="1">
        <v>3.1</v>
      </c>
      <c r="K30" s="22" t="s">
        <v>109</v>
      </c>
      <c r="L30" s="1">
        <v>0.4653</v>
      </c>
      <c r="M30" s="1">
        <v>2.8065</v>
      </c>
      <c r="N30" s="1">
        <v>-83.2476</v>
      </c>
      <c r="O30" s="1">
        <v>4.4871</v>
      </c>
      <c r="P30" s="7">
        <v>5200.0</v>
      </c>
      <c r="Q30" s="1">
        <v>0.995336999999959</v>
      </c>
      <c r="R30" s="1">
        <v>86.0974</v>
      </c>
      <c r="S30" s="1">
        <v>0.0443</v>
      </c>
      <c r="T30" s="1">
        <v>1.2394</v>
      </c>
      <c r="U30" s="1">
        <f t="shared" si="1"/>
        <v>1.248075442</v>
      </c>
      <c r="V30" s="1">
        <v>0.404120999999997</v>
      </c>
      <c r="W30" s="1">
        <v>0.999954999999999</v>
      </c>
    </row>
    <row r="31">
      <c r="A31" s="12" t="s">
        <v>42</v>
      </c>
      <c r="B31" s="4">
        <v>0.867324999999979</v>
      </c>
      <c r="C31" s="4">
        <v>99.3662</v>
      </c>
      <c r="D31" s="4">
        <v>13.313</v>
      </c>
      <c r="E31" s="4">
        <v>2.356</v>
      </c>
      <c r="F31" s="16" t="s">
        <v>59</v>
      </c>
      <c r="G31" s="1">
        <v>0.950139999999959</v>
      </c>
      <c r="H31" s="1">
        <v>86.5604</v>
      </c>
      <c r="I31" s="1">
        <v>0.5072</v>
      </c>
      <c r="J31" s="1">
        <v>2.085</v>
      </c>
      <c r="K31" s="21" t="s">
        <v>113</v>
      </c>
      <c r="M31" s="1" t="s">
        <v>8</v>
      </c>
      <c r="N31" s="1" t="s">
        <v>14</v>
      </c>
      <c r="O31" s="1" t="s">
        <v>15</v>
      </c>
      <c r="P31" s="7">
        <v>5400.0</v>
      </c>
      <c r="Q31" s="1">
        <v>0.99572699999996</v>
      </c>
      <c r="R31" s="1">
        <v>85.9721</v>
      </c>
      <c r="S31" s="1">
        <v>-0.081</v>
      </c>
      <c r="T31" s="1">
        <v>1.2173</v>
      </c>
      <c r="U31" s="1">
        <f t="shared" si="1"/>
        <v>1.224744871</v>
      </c>
      <c r="V31" s="1">
        <v>0.404633999999998</v>
      </c>
      <c r="W31" s="1">
        <v>0.999954999999999</v>
      </c>
    </row>
    <row r="32">
      <c r="A32" s="12" t="s">
        <v>44</v>
      </c>
      <c r="B32" s="4">
        <v>0.839202999999983</v>
      </c>
      <c r="C32" s="4">
        <v>101.5632</v>
      </c>
      <c r="D32" s="4">
        <v>15.51</v>
      </c>
      <c r="E32" s="4">
        <v>2.5051</v>
      </c>
      <c r="F32" s="16" t="s">
        <v>60</v>
      </c>
      <c r="G32" s="1">
        <v>0.986747999999949</v>
      </c>
      <c r="H32" s="1">
        <v>87.5075</v>
      </c>
      <c r="I32" s="1">
        <v>1.4544</v>
      </c>
      <c r="J32" s="1">
        <v>1.9344</v>
      </c>
      <c r="K32" s="22" t="s">
        <v>19</v>
      </c>
      <c r="L32" s="1">
        <v>0.962963999999946</v>
      </c>
      <c r="M32" s="1">
        <v>90.63</v>
      </c>
      <c r="N32" s="1">
        <v>4.5769</v>
      </c>
      <c r="O32" s="1">
        <v>1.7823</v>
      </c>
      <c r="P32" s="7">
        <v>5600.0</v>
      </c>
      <c r="Q32" s="1">
        <v>0.996260999999963</v>
      </c>
      <c r="R32" s="1">
        <v>86.0496</v>
      </c>
      <c r="S32" s="1">
        <v>-0.0035</v>
      </c>
      <c r="T32" s="1">
        <v>1.2016</v>
      </c>
      <c r="U32" s="1">
        <f t="shared" si="1"/>
        <v>1.202675589</v>
      </c>
      <c r="V32" s="1">
        <v>0.406755999999999</v>
      </c>
      <c r="W32" s="1">
        <v>0.999954999999999</v>
      </c>
    </row>
    <row r="33">
      <c r="A33" s="12" t="s">
        <v>45</v>
      </c>
      <c r="B33" s="4">
        <v>0.799888999999988</v>
      </c>
      <c r="C33" s="4">
        <v>104.6386</v>
      </c>
      <c r="D33" s="4">
        <v>18.5854</v>
      </c>
      <c r="E33" s="4">
        <v>2.6927</v>
      </c>
      <c r="F33" s="16" t="s">
        <v>61</v>
      </c>
      <c r="G33" s="1">
        <v>0.980299999999941</v>
      </c>
      <c r="H33" s="1">
        <v>88.7316</v>
      </c>
      <c r="I33" s="1">
        <v>2.6784</v>
      </c>
      <c r="J33" s="1">
        <v>3.4042</v>
      </c>
      <c r="K33" s="22" t="s">
        <v>22</v>
      </c>
      <c r="L33" s="1">
        <v>0.950362999999957</v>
      </c>
      <c r="M33" s="1">
        <v>91.3935</v>
      </c>
      <c r="N33" s="1">
        <v>5.3403</v>
      </c>
      <c r="O33" s="1">
        <v>1.918</v>
      </c>
      <c r="P33" s="7">
        <v>5800.0</v>
      </c>
      <c r="Q33" s="1">
        <v>0.996809999999964</v>
      </c>
      <c r="R33" s="1">
        <v>86.0685</v>
      </c>
      <c r="S33" s="1">
        <v>0.0154</v>
      </c>
      <c r="T33" s="1">
        <v>1.1786</v>
      </c>
      <c r="U33" s="1">
        <f t="shared" si="1"/>
        <v>1.181757896</v>
      </c>
      <c r="V33" s="1">
        <v>0.404606999999998</v>
      </c>
      <c r="W33" s="1">
        <v>0.999967999999999</v>
      </c>
    </row>
    <row r="34">
      <c r="A34" s="12" t="s">
        <v>46</v>
      </c>
      <c r="B34" s="4">
        <v>0.741110999999989</v>
      </c>
      <c r="C34" s="4">
        <v>109.2801</v>
      </c>
      <c r="D34" s="4">
        <v>23.227</v>
      </c>
      <c r="E34" s="4">
        <v>2.9317</v>
      </c>
      <c r="F34" s="23" t="s">
        <v>114</v>
      </c>
      <c r="K34" s="22" t="s">
        <v>25</v>
      </c>
      <c r="L34" s="1">
        <v>0.932012999999959</v>
      </c>
      <c r="M34" s="1">
        <v>92.4612</v>
      </c>
      <c r="N34" s="1">
        <v>6.408</v>
      </c>
      <c r="O34" s="1">
        <v>2.0902</v>
      </c>
      <c r="P34" s="7">
        <v>6000.0</v>
      </c>
      <c r="Q34" s="1">
        <v>0.996954999999966</v>
      </c>
      <c r="R34" s="1">
        <v>86.0167</v>
      </c>
      <c r="S34" s="1">
        <v>-0.0364</v>
      </c>
      <c r="T34" s="1">
        <v>1.1623</v>
      </c>
      <c r="U34" s="1">
        <f t="shared" si="1"/>
        <v>1.161895004</v>
      </c>
      <c r="V34" s="1">
        <v>0.406760999999997</v>
      </c>
      <c r="W34" s="1">
        <v>0.999976999999999</v>
      </c>
    </row>
    <row r="35">
      <c r="A35" s="12" t="s">
        <v>47</v>
      </c>
      <c r="B35" s="4">
        <v>0.648610999999993</v>
      </c>
      <c r="C35" s="4">
        <v>117.1558</v>
      </c>
      <c r="D35" s="4">
        <v>31.1026</v>
      </c>
      <c r="E35" s="4">
        <v>3.2615</v>
      </c>
      <c r="F35" s="24" t="s">
        <v>51</v>
      </c>
      <c r="G35" s="4">
        <v>0.792242999999984</v>
      </c>
      <c r="H35" s="4">
        <v>86.808</v>
      </c>
      <c r="I35" s="4">
        <v>0.7549</v>
      </c>
      <c r="J35" s="4">
        <v>3.0791</v>
      </c>
      <c r="K35" s="22" t="s">
        <v>28</v>
      </c>
      <c r="L35" s="1">
        <v>0.902159999999975</v>
      </c>
      <c r="M35" s="1">
        <v>94.0625</v>
      </c>
      <c r="N35" s="1">
        <v>8.0093</v>
      </c>
      <c r="O35" s="1">
        <v>2.3201</v>
      </c>
      <c r="P35" s="7">
        <v>6200.0</v>
      </c>
      <c r="Q35" s="1">
        <v>0.997351999999971</v>
      </c>
      <c r="R35" s="1">
        <v>85.9749</v>
      </c>
      <c r="S35" s="1">
        <v>-0.0783</v>
      </c>
      <c r="T35" s="1">
        <v>1.1422</v>
      </c>
      <c r="U35" s="1">
        <f t="shared" si="1"/>
        <v>1.143001143</v>
      </c>
      <c r="V35" s="1">
        <v>0.402980999999997</v>
      </c>
      <c r="W35" s="1">
        <v>0.999984999999999</v>
      </c>
    </row>
    <row r="36">
      <c r="A36" s="12" t="s">
        <v>48</v>
      </c>
      <c r="B36" s="4">
        <v>0.482844</v>
      </c>
      <c r="C36" s="4">
        <v>134.6962</v>
      </c>
      <c r="D36" s="4">
        <v>48.643</v>
      </c>
      <c r="E36" s="4">
        <v>6.7179</v>
      </c>
      <c r="F36" s="24" t="s">
        <v>52</v>
      </c>
      <c r="G36" s="4">
        <v>0.792239999999984</v>
      </c>
      <c r="H36" s="4">
        <v>86.808</v>
      </c>
      <c r="I36" s="4">
        <v>0.7549</v>
      </c>
      <c r="J36" s="4">
        <v>3.0791</v>
      </c>
      <c r="K36" s="22" t="s">
        <v>31</v>
      </c>
      <c r="L36" s="1">
        <v>0.85082599999998</v>
      </c>
      <c r="M36" s="1">
        <v>96.7305</v>
      </c>
      <c r="N36" s="1">
        <v>10.6773</v>
      </c>
      <c r="O36" s="1">
        <v>2.6511</v>
      </c>
      <c r="P36" s="7">
        <v>6400.0</v>
      </c>
      <c r="Q36" s="1">
        <v>0.997851999999973</v>
      </c>
      <c r="R36" s="1">
        <v>86.0327</v>
      </c>
      <c r="S36" s="1">
        <v>-0.0205</v>
      </c>
      <c r="T36" s="1">
        <v>1.1142</v>
      </c>
      <c r="U36" s="1">
        <f t="shared" si="1"/>
        <v>1.125</v>
      </c>
      <c r="V36" s="1">
        <v>0.407566999999999</v>
      </c>
      <c r="W36" s="1">
        <v>0.999986999999999</v>
      </c>
    </row>
    <row r="37">
      <c r="A37" s="12" t="s">
        <v>111</v>
      </c>
      <c r="B37" s="1">
        <v>8.87999999999986E-4</v>
      </c>
      <c r="C37" s="1">
        <v>180.0</v>
      </c>
      <c r="D37" s="1">
        <v>93.9468</v>
      </c>
      <c r="E37" s="1">
        <v>4.9448</v>
      </c>
      <c r="F37" s="24" t="s">
        <v>53</v>
      </c>
      <c r="G37" s="4">
        <v>0.792240999999984</v>
      </c>
      <c r="H37" s="4">
        <v>86.808</v>
      </c>
      <c r="I37" s="4">
        <v>0.7549</v>
      </c>
      <c r="J37" s="4">
        <v>3.0791</v>
      </c>
      <c r="K37" s="22" t="s">
        <v>34</v>
      </c>
      <c r="L37" s="1">
        <v>0.753950999999992</v>
      </c>
      <c r="M37" s="1">
        <v>102.0274</v>
      </c>
      <c r="N37" s="1">
        <v>15.9743</v>
      </c>
      <c r="O37" s="1">
        <v>3.1828</v>
      </c>
      <c r="P37" s="7">
        <v>6600.0</v>
      </c>
      <c r="Q37" s="1">
        <v>0.997985999999973</v>
      </c>
      <c r="R37" s="1">
        <v>85.9631</v>
      </c>
      <c r="S37" s="1">
        <v>-0.09</v>
      </c>
      <c r="T37" s="1">
        <v>1.1068</v>
      </c>
      <c r="U37" s="1">
        <f t="shared" si="1"/>
        <v>1.107823419</v>
      </c>
      <c r="V37" s="1">
        <v>0.406282</v>
      </c>
      <c r="W37" s="1">
        <v>0.999986999999999</v>
      </c>
    </row>
    <row r="38">
      <c r="A38" s="15" t="s">
        <v>50</v>
      </c>
      <c r="F38" s="24" t="s">
        <v>54</v>
      </c>
      <c r="G38" s="4">
        <v>0.792254999999985</v>
      </c>
      <c r="H38" s="4">
        <v>86.808</v>
      </c>
      <c r="I38" s="4">
        <v>0.7549</v>
      </c>
      <c r="J38" s="4">
        <v>3.079</v>
      </c>
      <c r="K38" s="22" t="s">
        <v>37</v>
      </c>
      <c r="L38" s="1">
        <v>0.551896999999999</v>
      </c>
      <c r="M38" s="1">
        <v>116.8648</v>
      </c>
      <c r="N38" s="1">
        <v>30.8117</v>
      </c>
      <c r="O38" s="1">
        <v>4.1647</v>
      </c>
      <c r="P38" s="7">
        <v>6800.0</v>
      </c>
      <c r="Q38" s="1">
        <v>0.998330999999978</v>
      </c>
      <c r="R38" s="1">
        <v>86.1425</v>
      </c>
      <c r="S38" s="1">
        <v>0.0893</v>
      </c>
      <c r="T38" s="1">
        <v>1.0833</v>
      </c>
      <c r="U38" s="1">
        <f t="shared" si="1"/>
        <v>1.091410313</v>
      </c>
      <c r="V38" s="1">
        <v>0.405505999999998</v>
      </c>
      <c r="W38" s="1">
        <v>0.999992</v>
      </c>
    </row>
    <row r="39">
      <c r="A39" s="16" t="s">
        <v>62</v>
      </c>
      <c r="B39" s="1">
        <v>0.596021999999996</v>
      </c>
      <c r="C39" s="4">
        <v>42.0864</v>
      </c>
      <c r="D39" s="4">
        <v>-43.9668</v>
      </c>
      <c r="E39" s="4">
        <v>3.5795</v>
      </c>
      <c r="F39" s="24" t="s">
        <v>55</v>
      </c>
      <c r="G39" s="1">
        <v>0.792354999999984</v>
      </c>
      <c r="H39" s="4">
        <v>86.808</v>
      </c>
      <c r="I39" s="4">
        <v>0.7549</v>
      </c>
      <c r="J39" s="4">
        <v>3.0785</v>
      </c>
      <c r="K39" s="22" t="s">
        <v>109</v>
      </c>
      <c r="L39" s="1">
        <v>0.465325</v>
      </c>
      <c r="M39" s="1">
        <v>176.4136</v>
      </c>
      <c r="N39" s="1">
        <v>90.3605</v>
      </c>
      <c r="O39" s="1">
        <v>4.3511</v>
      </c>
      <c r="P39" s="7">
        <v>7000.0</v>
      </c>
      <c r="Q39" s="1">
        <v>0.99849599999998</v>
      </c>
      <c r="R39" s="1">
        <v>86.1687</v>
      </c>
      <c r="S39" s="1">
        <v>0.1155</v>
      </c>
      <c r="T39" s="1">
        <v>1.0716</v>
      </c>
      <c r="U39" s="1">
        <f t="shared" si="1"/>
        <v>1.075705748</v>
      </c>
      <c r="V39" s="1">
        <v>0.404611999999997</v>
      </c>
      <c r="W39" s="1">
        <v>0.999993999999999</v>
      </c>
    </row>
    <row r="40">
      <c r="A40" s="16" t="s">
        <v>63</v>
      </c>
      <c r="B40" s="1">
        <v>0.607474999999997</v>
      </c>
      <c r="C40" s="1">
        <v>42.222</v>
      </c>
      <c r="D40" s="1">
        <v>-43.8311</v>
      </c>
      <c r="E40" s="1">
        <v>3.553</v>
      </c>
      <c r="F40" s="24" t="s">
        <v>56</v>
      </c>
      <c r="G40" s="4">
        <v>0.792932999999987</v>
      </c>
      <c r="H40" s="4">
        <v>86.8079</v>
      </c>
      <c r="I40" s="4">
        <v>0.7547</v>
      </c>
      <c r="J40" s="4">
        <v>3.0756</v>
      </c>
      <c r="K40" s="21" t="s">
        <v>115</v>
      </c>
      <c r="M40" s="1" t="s">
        <v>8</v>
      </c>
      <c r="N40" s="1" t="s">
        <v>14</v>
      </c>
      <c r="O40" s="1" t="s">
        <v>15</v>
      </c>
      <c r="P40" s="7">
        <v>7200.0</v>
      </c>
      <c r="Q40" s="1">
        <v>0.998621999999981</v>
      </c>
      <c r="R40" s="1">
        <v>85.9862</v>
      </c>
      <c r="S40" s="1">
        <v>-0.067</v>
      </c>
      <c r="T40" s="1">
        <v>1.0574</v>
      </c>
      <c r="U40" s="1">
        <f t="shared" si="1"/>
        <v>1.060660172</v>
      </c>
      <c r="V40" s="1">
        <v>0.404503999999998</v>
      </c>
      <c r="W40" s="1">
        <v>0.999992999999999</v>
      </c>
    </row>
    <row r="41">
      <c r="A41" s="16" t="s">
        <v>64</v>
      </c>
      <c r="B41" s="1">
        <v>0.623876999999994</v>
      </c>
      <c r="C41" s="1">
        <v>42.4474</v>
      </c>
      <c r="D41" s="1">
        <v>-43.6057</v>
      </c>
      <c r="E41" s="1">
        <v>3.515</v>
      </c>
      <c r="F41" s="24" t="s">
        <v>57</v>
      </c>
      <c r="G41" s="1">
        <v>0.796412999999989</v>
      </c>
      <c r="H41" s="1">
        <v>86.8076</v>
      </c>
      <c r="I41" s="1">
        <v>0.7545</v>
      </c>
      <c r="J41" s="1">
        <v>3.0585</v>
      </c>
      <c r="K41" s="22" t="s">
        <v>19</v>
      </c>
      <c r="L41" s="1">
        <v>0.992594999999959</v>
      </c>
      <c r="M41" s="1">
        <v>86.1304</v>
      </c>
      <c r="N41" s="1">
        <v>0.0773</v>
      </c>
      <c r="O41" s="1">
        <v>1.538</v>
      </c>
      <c r="P41" s="7">
        <v>7400.0</v>
      </c>
      <c r="Q41" s="1">
        <v>0.998788999999982</v>
      </c>
      <c r="R41" s="1">
        <v>85.9906</v>
      </c>
      <c r="S41" s="1">
        <v>-0.0626</v>
      </c>
      <c r="T41" s="1">
        <v>1.0409</v>
      </c>
      <c r="U41" s="1">
        <f t="shared" si="1"/>
        <v>1.046228749</v>
      </c>
      <c r="V41" s="1">
        <v>0.405548999999999</v>
      </c>
      <c r="W41" s="1">
        <v>0.999996999999999</v>
      </c>
    </row>
    <row r="42">
      <c r="A42" s="16" t="s">
        <v>65</v>
      </c>
      <c r="B42" s="1">
        <v>0.646460999999994</v>
      </c>
      <c r="C42" s="1">
        <v>42.8231</v>
      </c>
      <c r="D42" s="1">
        <v>-43.23</v>
      </c>
      <c r="E42" s="1">
        <v>3.4615</v>
      </c>
      <c r="F42" s="24" t="s">
        <v>58</v>
      </c>
      <c r="G42" s="1">
        <v>0.812514999999981</v>
      </c>
      <c r="H42" s="1">
        <v>86.8113</v>
      </c>
      <c r="I42" s="1">
        <v>0.7581</v>
      </c>
      <c r="J42" s="1">
        <v>2.9701</v>
      </c>
      <c r="K42" s="22" t="s">
        <v>22</v>
      </c>
      <c r="L42" s="1">
        <v>0.988407999999951</v>
      </c>
      <c r="M42" s="1">
        <v>86.1209</v>
      </c>
      <c r="N42" s="1">
        <v>0.0677</v>
      </c>
      <c r="O42" s="1">
        <v>1.6771</v>
      </c>
      <c r="P42" s="7">
        <v>7600.0</v>
      </c>
      <c r="Q42" s="1">
        <v>0.998914999999984</v>
      </c>
      <c r="R42" s="1">
        <v>86.0806</v>
      </c>
      <c r="S42" s="1">
        <v>0.0275</v>
      </c>
      <c r="T42" s="1">
        <v>1.0292</v>
      </c>
      <c r="U42" s="1">
        <f t="shared" si="1"/>
        <v>1.032370802</v>
      </c>
      <c r="V42" s="1">
        <v>0.406098999999999</v>
      </c>
      <c r="W42" s="1">
        <v>0.999995999999999</v>
      </c>
    </row>
    <row r="43">
      <c r="A43" s="16" t="s">
        <v>66</v>
      </c>
      <c r="B43" s="1">
        <v>0.677847999999988</v>
      </c>
      <c r="C43" s="1">
        <v>43.4529</v>
      </c>
      <c r="D43" s="1">
        <v>-42.6003</v>
      </c>
      <c r="E43" s="1">
        <v>3.388</v>
      </c>
      <c r="F43" s="24" t="s">
        <v>59</v>
      </c>
      <c r="G43" s="1">
        <v>0.866712999999978</v>
      </c>
      <c r="H43" s="1">
        <v>86.8611</v>
      </c>
      <c r="I43" s="1">
        <v>0.808</v>
      </c>
      <c r="J43" s="1">
        <v>2.622</v>
      </c>
      <c r="K43" s="22" t="s">
        <v>25</v>
      </c>
      <c r="L43" s="1">
        <v>0.981012999999949</v>
      </c>
      <c r="M43" s="1">
        <v>86.1013</v>
      </c>
      <c r="N43" s="1">
        <v>0.0481</v>
      </c>
      <c r="O43" s="1">
        <v>1.8623</v>
      </c>
      <c r="P43" s="7">
        <v>7800.0</v>
      </c>
      <c r="Q43" s="1">
        <v>0.999053999999986</v>
      </c>
      <c r="R43" s="1">
        <v>86.0852</v>
      </c>
      <c r="S43" s="1">
        <v>0.032</v>
      </c>
      <c r="T43" s="1">
        <v>1.0125</v>
      </c>
      <c r="U43" s="1">
        <f t="shared" si="1"/>
        <v>1.019049331</v>
      </c>
      <c r="V43" s="1">
        <v>0.403451999999998</v>
      </c>
      <c r="W43" s="1">
        <v>0.999995</v>
      </c>
    </row>
    <row r="44">
      <c r="A44" s="16" t="s">
        <v>67</v>
      </c>
      <c r="B44" s="4">
        <v>0.720421999999988</v>
      </c>
      <c r="C44" s="4">
        <v>44.5187</v>
      </c>
      <c r="D44" s="4">
        <v>-41.5345</v>
      </c>
      <c r="E44" s="4">
        <v>3.2901</v>
      </c>
      <c r="F44" s="24" t="s">
        <v>60</v>
      </c>
      <c r="G44" s="1">
        <v>0.956829999999956</v>
      </c>
      <c r="H44" s="1">
        <v>87.1887</v>
      </c>
      <c r="I44" s="1">
        <v>1.1355</v>
      </c>
      <c r="J44" s="1">
        <v>1.9649</v>
      </c>
      <c r="K44" s="22" t="s">
        <v>28</v>
      </c>
      <c r="L44" s="1">
        <v>0.967261999999953</v>
      </c>
      <c r="M44" s="1">
        <v>86.0613</v>
      </c>
      <c r="N44" s="1">
        <v>0.0081</v>
      </c>
      <c r="O44" s="1">
        <v>2.1266</v>
      </c>
      <c r="P44" s="7">
        <v>8000.0</v>
      </c>
      <c r="Q44" s="1">
        <v>0.999177999999988</v>
      </c>
      <c r="R44" s="1">
        <v>86.0762</v>
      </c>
      <c r="S44" s="1">
        <v>0.0231</v>
      </c>
      <c r="T44" s="1">
        <v>1.0009</v>
      </c>
      <c r="U44" s="1">
        <f t="shared" si="1"/>
        <v>1.00623059</v>
      </c>
      <c r="V44" s="1">
        <v>0.403298999999999</v>
      </c>
      <c r="W44" s="1">
        <v>0.999997999999999</v>
      </c>
    </row>
    <row r="45">
      <c r="A45" s="16" t="s">
        <v>68</v>
      </c>
      <c r="B45" s="1">
        <v>0.776726999999986</v>
      </c>
      <c r="C45" s="1">
        <v>46.3533</v>
      </c>
      <c r="D45" s="1">
        <v>-39.6998</v>
      </c>
      <c r="E45" s="1">
        <v>3.1661</v>
      </c>
      <c r="F45" s="24" t="s">
        <v>61</v>
      </c>
      <c r="G45" s="1">
        <v>0.989255999999958</v>
      </c>
      <c r="H45" s="1">
        <v>88.14</v>
      </c>
      <c r="I45" s="1">
        <v>2.0868</v>
      </c>
      <c r="J45" s="1">
        <v>2.6255</v>
      </c>
      <c r="K45" s="22" t="s">
        <v>31</v>
      </c>
      <c r="L45" s="1">
        <v>0.938724999999964</v>
      </c>
      <c r="M45" s="1">
        <v>85.9766</v>
      </c>
      <c r="N45" s="1">
        <v>-0.0766</v>
      </c>
      <c r="O45" s="1">
        <v>2.55</v>
      </c>
    </row>
    <row r="46">
      <c r="A46" s="16" t="s">
        <v>69</v>
      </c>
      <c r="B46" s="1">
        <v>0.847129999999982</v>
      </c>
      <c r="C46" s="1">
        <v>49.6092</v>
      </c>
      <c r="D46" s="1">
        <v>-36.4439</v>
      </c>
      <c r="E46" s="1">
        <v>3.0246</v>
      </c>
      <c r="K46" s="22" t="s">
        <v>34</v>
      </c>
      <c r="L46" s="1">
        <v>0.874472999999977</v>
      </c>
      <c r="M46" s="1">
        <v>85.7608</v>
      </c>
      <c r="N46" s="1">
        <v>-0.2924</v>
      </c>
      <c r="O46" s="1">
        <v>3.3766</v>
      </c>
    </row>
    <row r="47">
      <c r="A47" s="16" t="s">
        <v>70</v>
      </c>
      <c r="B47" s="1">
        <v>0.921433999999974</v>
      </c>
      <c r="C47" s="1">
        <v>55.7107</v>
      </c>
      <c r="D47" s="1">
        <v>-30.3424</v>
      </c>
      <c r="E47" s="1">
        <v>2.9073</v>
      </c>
      <c r="K47" s="22" t="s">
        <v>37</v>
      </c>
      <c r="L47" s="1">
        <v>0.704605999999989</v>
      </c>
      <c r="M47" s="1">
        <v>84.9875</v>
      </c>
      <c r="N47" s="1">
        <v>-1.0657</v>
      </c>
      <c r="O47" s="1">
        <v>5.855</v>
      </c>
    </row>
    <row r="48">
      <c r="A48" s="16" t="s">
        <v>71</v>
      </c>
      <c r="B48" s="1">
        <v>0.960176999999961</v>
      </c>
      <c r="C48" s="1">
        <v>68.2672</v>
      </c>
      <c r="D48" s="1">
        <v>-17.786</v>
      </c>
      <c r="E48" s="1">
        <v>2.9446</v>
      </c>
      <c r="K48" s="22" t="s">
        <v>109</v>
      </c>
      <c r="L48" s="1">
        <v>0.465305</v>
      </c>
      <c r="M48" s="1">
        <v>77.6442</v>
      </c>
      <c r="N48" s="1">
        <v>-8.4089</v>
      </c>
      <c r="O48" s="1">
        <v>24.126</v>
      </c>
    </row>
    <row r="49">
      <c r="A49" s="16" t="s">
        <v>72</v>
      </c>
      <c r="B49" s="1">
        <v>0.824529999999984</v>
      </c>
      <c r="C49" s="1">
        <v>98.7786</v>
      </c>
      <c r="D49" s="1">
        <v>12.7254</v>
      </c>
      <c r="E49" s="1">
        <v>3.3318</v>
      </c>
      <c r="K49" s="21" t="s">
        <v>112</v>
      </c>
    </row>
    <row r="50">
      <c r="A50" s="16" t="s">
        <v>73</v>
      </c>
      <c r="B50" s="1">
        <v>0.494045999999999</v>
      </c>
      <c r="C50" s="1">
        <v>133.8315</v>
      </c>
      <c r="D50" s="1">
        <v>47.7783</v>
      </c>
      <c r="E50" s="1">
        <v>3.7036</v>
      </c>
      <c r="K50" s="22" t="s">
        <v>19</v>
      </c>
      <c r="L50" s="1"/>
      <c r="M50" s="2"/>
      <c r="N50" s="2"/>
      <c r="O50" s="2"/>
    </row>
    <row r="51">
      <c r="A51" s="16" t="s">
        <v>74</v>
      </c>
      <c r="B51" s="1">
        <v>0.499582000000001</v>
      </c>
      <c r="C51" s="1">
        <v>133.6977</v>
      </c>
      <c r="D51" s="1">
        <v>47.6445</v>
      </c>
      <c r="E51" s="1">
        <v>3.6747</v>
      </c>
      <c r="K51" s="22" t="s">
        <v>22</v>
      </c>
      <c r="L51" s="2"/>
      <c r="M51" s="2"/>
      <c r="N51" s="2"/>
      <c r="O51" s="2"/>
    </row>
    <row r="52">
      <c r="A52" s="16" t="s">
        <v>75</v>
      </c>
      <c r="B52" s="1">
        <v>0.508315000000002</v>
      </c>
      <c r="C52" s="1">
        <v>133.4754</v>
      </c>
      <c r="D52" s="1">
        <v>47.4222</v>
      </c>
      <c r="E52" s="1">
        <v>3.6332</v>
      </c>
      <c r="K52" s="22" t="s">
        <v>25</v>
      </c>
      <c r="L52" s="1">
        <v>0.980775999999949</v>
      </c>
      <c r="M52" s="1">
        <v>81.2221</v>
      </c>
      <c r="N52" s="1">
        <v>-4.7819</v>
      </c>
      <c r="O52" s="1">
        <v>1.771</v>
      </c>
    </row>
    <row r="53">
      <c r="A53" s="16" t="s">
        <v>76</v>
      </c>
      <c r="B53" s="1">
        <v>0.521562</v>
      </c>
      <c r="C53" s="1">
        <v>133.1051</v>
      </c>
      <c r="D53" s="1">
        <v>47.0519</v>
      </c>
      <c r="E53" s="1">
        <v>3.5744</v>
      </c>
      <c r="K53" s="22" t="s">
        <v>28</v>
      </c>
      <c r="L53" s="2"/>
      <c r="M53" s="2"/>
      <c r="N53" s="2"/>
      <c r="O53" s="2"/>
    </row>
    <row r="54">
      <c r="A54" s="16" t="s">
        <v>77</v>
      </c>
      <c r="B54" s="1">
        <v>0.541609999999997</v>
      </c>
      <c r="C54" s="1">
        <v>132.4849</v>
      </c>
      <c r="D54" s="1">
        <v>46.4318</v>
      </c>
      <c r="E54" s="1">
        <v>3.493</v>
      </c>
      <c r="K54" s="22" t="s">
        <v>31</v>
      </c>
      <c r="L54" s="2"/>
      <c r="M54" s="2"/>
      <c r="N54" s="2"/>
      <c r="O54" s="2"/>
    </row>
    <row r="55">
      <c r="A55" s="16" t="s">
        <v>78</v>
      </c>
      <c r="B55" s="4">
        <v>0.571783999999997</v>
      </c>
      <c r="C55" s="4">
        <v>131.4368</v>
      </c>
      <c r="D55" s="4">
        <v>45.3836</v>
      </c>
      <c r="E55" s="4">
        <v>3.383</v>
      </c>
      <c r="K55" s="22" t="s">
        <v>715</v>
      </c>
      <c r="L55" s="1">
        <v>0.904011999999976</v>
      </c>
      <c r="M55" s="1">
        <v>77.6841</v>
      </c>
      <c r="N55" s="1">
        <v>-8.3199</v>
      </c>
      <c r="O55" s="1">
        <v>2.36</v>
      </c>
    </row>
    <row r="56">
      <c r="A56" s="16" t="s">
        <v>79</v>
      </c>
      <c r="B56" s="1">
        <v>0.616811999999993</v>
      </c>
      <c r="C56" s="1">
        <v>129.6362</v>
      </c>
      <c r="D56" s="1">
        <v>43.583</v>
      </c>
      <c r="E56" s="1">
        <v>3.2405</v>
      </c>
      <c r="K56" s="22" t="s">
        <v>716</v>
      </c>
      <c r="L56" s="1">
        <v>0.798966999999985</v>
      </c>
      <c r="M56" s="1">
        <v>74.3038</v>
      </c>
      <c r="N56" s="1">
        <v>-11.7001</v>
      </c>
      <c r="O56" s="1">
        <v>2.7952</v>
      </c>
    </row>
    <row r="57">
      <c r="A57" s="16" t="s">
        <v>80</v>
      </c>
      <c r="B57" s="1">
        <v>0.683319999999992</v>
      </c>
      <c r="C57" s="1">
        <v>126.4491</v>
      </c>
      <c r="D57" s="1">
        <v>40.3959</v>
      </c>
      <c r="E57" s="1">
        <v>3.0696</v>
      </c>
      <c r="K57" s="22" t="s">
        <v>717</v>
      </c>
      <c r="L57" s="9">
        <v>0.465345999999999</v>
      </c>
      <c r="M57" s="9">
        <v>42.9917</v>
      </c>
      <c r="N57" s="9">
        <v>-43.0123</v>
      </c>
      <c r="O57" s="9">
        <v>3.6861</v>
      </c>
    </row>
    <row r="58">
      <c r="A58" s="16" t="s">
        <v>81</v>
      </c>
      <c r="B58" s="1">
        <v>0.775493999999992</v>
      </c>
      <c r="C58" s="1">
        <v>120.491</v>
      </c>
      <c r="D58" s="1">
        <v>34.4378</v>
      </c>
      <c r="E58" s="1">
        <v>2.902</v>
      </c>
    </row>
    <row r="59">
      <c r="A59" s="16" t="s">
        <v>82</v>
      </c>
      <c r="B59" s="1">
        <v>0.877518999999976</v>
      </c>
      <c r="C59" s="1">
        <v>108.2311</v>
      </c>
      <c r="D59" s="1">
        <v>22.1779</v>
      </c>
      <c r="E59" s="1">
        <v>2.8488</v>
      </c>
    </row>
    <row r="60">
      <c r="A60" s="16" t="s">
        <v>83</v>
      </c>
      <c r="B60" s="1">
        <v>0.892881999999976</v>
      </c>
      <c r="C60" s="1">
        <v>78.1721</v>
      </c>
      <c r="D60" s="1">
        <v>-7.8811</v>
      </c>
      <c r="E60" s="1">
        <v>3.0836</v>
      </c>
      <c r="K60" s="18" t="s">
        <v>459</v>
      </c>
      <c r="L60" s="1" t="s">
        <v>140</v>
      </c>
      <c r="M60" s="1" t="s">
        <v>141</v>
      </c>
    </row>
    <row r="61">
      <c r="A61" s="23" t="s">
        <v>114</v>
      </c>
      <c r="K61" s="1" t="s">
        <v>19</v>
      </c>
      <c r="L61" s="1">
        <v>0.103126854236206</v>
      </c>
      <c r="M61" s="1">
        <v>0.0584097042679786</v>
      </c>
    </row>
    <row r="62">
      <c r="A62" s="24" t="s">
        <v>62</v>
      </c>
      <c r="B62" s="4">
        <v>0.615582999999997</v>
      </c>
      <c r="C62" s="4">
        <v>61.8847</v>
      </c>
      <c r="D62" s="4">
        <v>-24.1684</v>
      </c>
      <c r="E62" s="4">
        <v>3.4998</v>
      </c>
      <c r="K62" s="1" t="s">
        <v>22</v>
      </c>
      <c r="L62" s="1">
        <v>0.105941627218103</v>
      </c>
      <c r="M62" s="1">
        <v>0.0665800422430038</v>
      </c>
    </row>
    <row r="63">
      <c r="A63" s="24" t="s">
        <v>63</v>
      </c>
      <c r="B63" s="1">
        <v>0.615584999999997</v>
      </c>
      <c r="C63" s="4">
        <v>61.8848</v>
      </c>
      <c r="D63" s="4">
        <v>-24.1684</v>
      </c>
      <c r="E63" s="4">
        <v>3.4997</v>
      </c>
      <c r="K63" s="1" t="s">
        <v>25</v>
      </c>
      <c r="L63" s="1">
        <v>0.109162188518866</v>
      </c>
      <c r="M63" s="1">
        <v>0.0773061901330947</v>
      </c>
    </row>
    <row r="64">
      <c r="A64" s="24" t="s">
        <v>64</v>
      </c>
      <c r="B64" s="1">
        <v>0.615595999999997</v>
      </c>
      <c r="C64" s="1">
        <v>61.8848</v>
      </c>
      <c r="D64" s="1">
        <v>-24.1683</v>
      </c>
      <c r="E64" s="4">
        <v>3.4997</v>
      </c>
      <c r="K64" s="1" t="s">
        <v>28</v>
      </c>
      <c r="L64" s="1">
        <v>0.113260572350549</v>
      </c>
      <c r="M64" s="1">
        <v>0.0920272529125213</v>
      </c>
    </row>
    <row r="65">
      <c r="A65" s="24" t="s">
        <v>65</v>
      </c>
      <c r="B65" s="1">
        <v>0.615668999999996</v>
      </c>
      <c r="C65" s="1">
        <v>61.8854</v>
      </c>
      <c r="D65" s="1">
        <v>-24.1678</v>
      </c>
      <c r="E65" s="1">
        <v>3.4995</v>
      </c>
      <c r="K65" s="1" t="s">
        <v>31</v>
      </c>
      <c r="L65" s="1">
        <v>0.118557522434198</v>
      </c>
      <c r="M65" s="1">
        <v>0.113466447591781</v>
      </c>
    </row>
    <row r="66">
      <c r="A66" s="24" t="s">
        <v>66</v>
      </c>
      <c r="B66" s="1">
        <v>0.616068999999996</v>
      </c>
      <c r="C66" s="1">
        <v>61.8888</v>
      </c>
      <c r="D66" s="1">
        <v>-24.1644</v>
      </c>
      <c r="E66" s="1">
        <v>3.4985</v>
      </c>
      <c r="K66" s="1" t="s">
        <v>34</v>
      </c>
      <c r="L66" s="1">
        <v>0.126180788589341</v>
      </c>
      <c r="M66" s="1">
        <v>0.147538754343986</v>
      </c>
    </row>
    <row r="67">
      <c r="A67" s="24" t="s">
        <v>67</v>
      </c>
      <c r="B67" s="4">
        <v>0.618121999999993</v>
      </c>
      <c r="C67" s="4">
        <v>61.909</v>
      </c>
      <c r="D67" s="4">
        <v>-24.1441</v>
      </c>
      <c r="E67" s="4">
        <v>3.4934</v>
      </c>
      <c r="K67" s="1" t="s">
        <v>37</v>
      </c>
      <c r="L67" s="1">
        <v>0.136413275302827</v>
      </c>
      <c r="M67" s="1">
        <v>0.209551659226417</v>
      </c>
    </row>
    <row r="68">
      <c r="A68" s="24" t="s">
        <v>68</v>
      </c>
      <c r="B68" s="1">
        <v>0.627127999999991</v>
      </c>
      <c r="C68" s="1">
        <v>62.0253</v>
      </c>
      <c r="D68" s="1">
        <v>-24.0279</v>
      </c>
      <c r="E68" s="1">
        <v>3.4702</v>
      </c>
      <c r="K68" s="1" t="s">
        <v>109</v>
      </c>
      <c r="L68" s="1">
        <v>0.147251806848759</v>
      </c>
      <c r="M68" s="1">
        <v>0.354692167043685</v>
      </c>
    </row>
    <row r="69">
      <c r="A69" s="24" t="s">
        <v>69</v>
      </c>
      <c r="B69" s="1">
        <v>0.659489999999993</v>
      </c>
      <c r="C69" s="1">
        <v>62.6361</v>
      </c>
      <c r="D69" s="1">
        <v>-23.417</v>
      </c>
      <c r="E69" s="1">
        <v>3.3818</v>
      </c>
    </row>
    <row r="70">
      <c r="A70" s="24" t="s">
        <v>70</v>
      </c>
      <c r="B70" s="1">
        <v>0.749777999999988</v>
      </c>
      <c r="C70" s="1">
        <v>65.3903</v>
      </c>
      <c r="D70" s="1">
        <v>-20.6628</v>
      </c>
      <c r="E70" s="1">
        <v>3.1327</v>
      </c>
    </row>
    <row r="71">
      <c r="A71" s="24" t="s">
        <v>71</v>
      </c>
      <c r="B71" s="1">
        <v>0.878072999999977</v>
      </c>
      <c r="C71" s="1">
        <v>75.3866</v>
      </c>
      <c r="D71" s="1">
        <v>-10.6666</v>
      </c>
      <c r="E71" s="1">
        <v>2.7278</v>
      </c>
    </row>
    <row r="72">
      <c r="A72" s="24" t="s">
        <v>72</v>
      </c>
      <c r="B72" s="1">
        <v>0.849417999999979</v>
      </c>
      <c r="C72" s="1">
        <v>105.7785</v>
      </c>
      <c r="D72" s="1">
        <v>19.7253</v>
      </c>
      <c r="E72" s="1">
        <v>2.5432</v>
      </c>
    </row>
    <row r="73">
      <c r="A73" s="24" t="s">
        <v>73</v>
      </c>
      <c r="B73" s="4">
        <v>0.640870999999994</v>
      </c>
      <c r="C73" s="4">
        <v>114.1046</v>
      </c>
      <c r="D73" s="4">
        <v>28.0515</v>
      </c>
      <c r="E73" s="4">
        <v>3.5055</v>
      </c>
    </row>
    <row r="74">
      <c r="A74" s="24" t="s">
        <v>74</v>
      </c>
      <c r="B74" s="4">
        <v>0.640873999999994</v>
      </c>
      <c r="C74" s="4">
        <v>114.1046</v>
      </c>
      <c r="D74" s="4">
        <v>28.0515</v>
      </c>
      <c r="E74" s="4">
        <v>3.5055</v>
      </c>
    </row>
    <row r="75">
      <c r="A75" s="24" t="s">
        <v>75</v>
      </c>
      <c r="B75" s="1">
        <v>0.640873999999994</v>
      </c>
      <c r="C75" s="1">
        <v>114.1045</v>
      </c>
      <c r="D75" s="1">
        <v>28.0514</v>
      </c>
      <c r="E75" s="1">
        <v>3.5054</v>
      </c>
    </row>
    <row r="76">
      <c r="A76" s="24" t="s">
        <v>76</v>
      </c>
      <c r="B76" s="1">
        <v>0.640915999999994</v>
      </c>
      <c r="C76" s="1">
        <v>114.104</v>
      </c>
      <c r="D76" s="1">
        <v>28.0508</v>
      </c>
      <c r="E76" s="1">
        <v>3.5052</v>
      </c>
    </row>
    <row r="77">
      <c r="A77" s="24" t="s">
        <v>77</v>
      </c>
      <c r="B77" s="1">
        <v>0.641187999999994</v>
      </c>
      <c r="C77" s="1">
        <v>114.1003</v>
      </c>
      <c r="D77" s="1">
        <v>28.0471</v>
      </c>
      <c r="E77" s="1">
        <v>3.5039</v>
      </c>
    </row>
    <row r="78">
      <c r="A78" s="24" t="s">
        <v>78</v>
      </c>
      <c r="B78" s="4">
        <v>0.642488999999994</v>
      </c>
      <c r="C78" s="4">
        <v>114.0782</v>
      </c>
      <c r="D78" s="4">
        <v>28.025</v>
      </c>
      <c r="E78" s="4">
        <v>3.4975</v>
      </c>
    </row>
    <row r="79">
      <c r="A79" s="24" t="s">
        <v>79</v>
      </c>
      <c r="B79" s="1">
        <v>0.649148999999995</v>
      </c>
      <c r="C79" s="1">
        <v>113.9521</v>
      </c>
      <c r="D79" s="1">
        <v>27.899</v>
      </c>
      <c r="E79" s="1">
        <v>3.4689</v>
      </c>
    </row>
    <row r="80">
      <c r="A80" s="24" t="s">
        <v>80</v>
      </c>
      <c r="B80" s="1">
        <v>0.676752999999992</v>
      </c>
      <c r="C80" s="1">
        <v>113.2964</v>
      </c>
      <c r="D80" s="1">
        <v>27.2432</v>
      </c>
      <c r="E80" s="1">
        <v>3.3611</v>
      </c>
    </row>
    <row r="81">
      <c r="A81" s="24" t="s">
        <v>81</v>
      </c>
      <c r="B81" s="1">
        <v>0.756484999999988</v>
      </c>
      <c r="C81" s="1">
        <v>110.384</v>
      </c>
      <c r="D81" s="1">
        <v>24.3309</v>
      </c>
      <c r="E81" s="1">
        <v>3.0554</v>
      </c>
    </row>
    <row r="82">
      <c r="A82" s="24" t="s">
        <v>82</v>
      </c>
      <c r="B82" s="1">
        <v>0.874792999999978</v>
      </c>
      <c r="C82" s="1">
        <v>100.0572</v>
      </c>
      <c r="D82" s="1">
        <v>14.004</v>
      </c>
      <c r="E82" s="1">
        <v>2.5329</v>
      </c>
    </row>
    <row r="83">
      <c r="A83" s="24" t="s">
        <v>83</v>
      </c>
      <c r="B83" s="1">
        <v>0.920052999999973</v>
      </c>
      <c r="C83" s="1">
        <v>69.0194</v>
      </c>
      <c r="D83" s="1">
        <v>-17.0337</v>
      </c>
      <c r="E83" s="1">
        <v>2.1946</v>
      </c>
    </row>
    <row r="85">
      <c r="A85" s="16" t="s">
        <v>71</v>
      </c>
      <c r="B85" s="1">
        <v>0.960176999999961</v>
      </c>
      <c r="C85" s="1">
        <v>68.2672</v>
      </c>
      <c r="D85" s="1">
        <v>-17.786</v>
      </c>
      <c r="E85" s="1">
        <v>2.9446</v>
      </c>
    </row>
    <row r="86">
      <c r="A86" s="16" t="s">
        <v>718</v>
      </c>
      <c r="B86" s="1">
        <v>0.909606999999969</v>
      </c>
      <c r="C86" s="1">
        <v>90.6465</v>
      </c>
      <c r="D86" s="1">
        <v>4.5933</v>
      </c>
      <c r="E86" s="1">
        <v>2.9879</v>
      </c>
    </row>
    <row r="87">
      <c r="A87" s="16" t="s">
        <v>719</v>
      </c>
      <c r="B87" s="1">
        <v>0.990703999999958</v>
      </c>
      <c r="C87" s="1">
        <v>89.0512</v>
      </c>
      <c r="D87" s="1">
        <v>2.998</v>
      </c>
      <c r="E87" s="1">
        <v>3.7315</v>
      </c>
    </row>
    <row r="89">
      <c r="A89" s="24" t="s">
        <v>720</v>
      </c>
      <c r="B89" s="1">
        <v>0.907970999999971</v>
      </c>
      <c r="C89" s="1">
        <v>92.1793</v>
      </c>
      <c r="D89" s="1">
        <v>6.1262</v>
      </c>
      <c r="E89" s="1">
        <v>3.6418</v>
      </c>
    </row>
    <row r="90">
      <c r="A90" s="24" t="s">
        <v>721</v>
      </c>
      <c r="B90" s="1">
        <v>0.913621999999973</v>
      </c>
      <c r="C90" s="1">
        <v>87.3006</v>
      </c>
      <c r="D90" s="1">
        <v>1.2474</v>
      </c>
      <c r="E90" s="1">
        <v>2.6124</v>
      </c>
    </row>
    <row r="91">
      <c r="A91" s="23" t="s">
        <v>722</v>
      </c>
      <c r="B91" s="18">
        <v>0.913889999999969</v>
      </c>
      <c r="C91" s="18">
        <v>85.5148</v>
      </c>
      <c r="D91" s="18">
        <v>-0.5384</v>
      </c>
      <c r="E91" s="18">
        <v>2.3946</v>
      </c>
    </row>
    <row r="92">
      <c r="A92" s="24" t="s">
        <v>723</v>
      </c>
      <c r="B92" s="1">
        <v>0.909375999999974</v>
      </c>
      <c r="C92" s="1">
        <v>85.4521</v>
      </c>
      <c r="D92" s="1">
        <v>-0.6011</v>
      </c>
      <c r="E92" s="1">
        <v>2.4533</v>
      </c>
    </row>
    <row r="93">
      <c r="B93" s="2"/>
      <c r="C93" s="2"/>
      <c r="D93" s="2"/>
      <c r="E93" s="2"/>
    </row>
    <row r="94">
      <c r="A94" s="24" t="s">
        <v>724</v>
      </c>
      <c r="B94" s="1">
        <v>0.91685199999997</v>
      </c>
      <c r="C94" s="1">
        <v>51.5927</v>
      </c>
      <c r="D94" s="1">
        <v>-34.4604</v>
      </c>
      <c r="E94" s="1">
        <v>5.4444</v>
      </c>
    </row>
    <row r="95">
      <c r="A95" s="24" t="s">
        <v>725</v>
      </c>
      <c r="B95" s="1">
        <v>0.92034799999997</v>
      </c>
      <c r="C95" s="1">
        <v>66.2963</v>
      </c>
      <c r="D95" s="1">
        <v>-19.7568</v>
      </c>
      <c r="E95" s="1">
        <v>2.6508</v>
      </c>
    </row>
    <row r="96">
      <c r="A96" s="23" t="s">
        <v>726</v>
      </c>
      <c r="B96" s="18">
        <v>0.921797999999971</v>
      </c>
      <c r="C96" s="18">
        <v>71.0236</v>
      </c>
      <c r="D96" s="18">
        <v>-15.0296</v>
      </c>
      <c r="E96" s="18">
        <v>2.1943</v>
      </c>
    </row>
    <row r="97">
      <c r="A97" s="24" t="s">
        <v>727</v>
      </c>
      <c r="B97" s="1">
        <v>0.92139399999997</v>
      </c>
      <c r="C97" s="1">
        <v>73.9872</v>
      </c>
      <c r="D97" s="1">
        <v>-12.0659</v>
      </c>
      <c r="E97" s="1">
        <v>2.2056</v>
      </c>
    </row>
    <row r="99">
      <c r="A99" s="24" t="s">
        <v>676</v>
      </c>
      <c r="B99" s="1">
        <v>0.990092999999954</v>
      </c>
      <c r="C99" s="1">
        <v>88.8697</v>
      </c>
      <c r="D99" s="1">
        <v>2.8165</v>
      </c>
      <c r="E99" s="1">
        <v>3.5019</v>
      </c>
    </row>
    <row r="100">
      <c r="A100" s="23" t="s">
        <v>476</v>
      </c>
      <c r="B100" s="18">
        <v>0.990493999999959</v>
      </c>
      <c r="C100" s="18">
        <v>88.909</v>
      </c>
      <c r="D100" s="18">
        <v>2.8559</v>
      </c>
      <c r="E100" s="18">
        <v>3.5506</v>
      </c>
    </row>
    <row r="101">
      <c r="A101" s="24" t="s">
        <v>728</v>
      </c>
      <c r="B101" s="1">
        <v>0.990090999999958</v>
      </c>
      <c r="C101" s="1">
        <v>88.9723</v>
      </c>
      <c r="D101" s="1">
        <v>2.9191</v>
      </c>
      <c r="E101" s="1">
        <v>3.6313</v>
      </c>
    </row>
    <row r="103">
      <c r="A103" s="24" t="s">
        <v>729</v>
      </c>
      <c r="B103" s="1">
        <v>0.934094999999967</v>
      </c>
      <c r="C103" s="1">
        <v>180.0</v>
      </c>
      <c r="D103" s="1">
        <v>93.9468</v>
      </c>
      <c r="E103" s="1">
        <v>4.9447</v>
      </c>
    </row>
    <row r="104">
      <c r="A104" s="23" t="s">
        <v>730</v>
      </c>
      <c r="B104" s="18">
        <v>0.941747999999966</v>
      </c>
      <c r="C104" s="18">
        <v>147.9736</v>
      </c>
      <c r="D104" s="18">
        <v>61.9204</v>
      </c>
      <c r="E104" s="18">
        <v>20.8255</v>
      </c>
    </row>
    <row r="105">
      <c r="A105" s="24" t="s">
        <v>690</v>
      </c>
      <c r="B105" s="1">
        <v>0.933732999999968</v>
      </c>
      <c r="C105" s="1">
        <v>85.0864</v>
      </c>
      <c r="D105" s="1">
        <v>-0.9668</v>
      </c>
      <c r="E105" s="1">
        <v>4.1527</v>
      </c>
    </row>
    <row r="106">
      <c r="A106" s="24" t="s">
        <v>487</v>
      </c>
      <c r="B106" s="1">
        <v>0.911029999999972</v>
      </c>
      <c r="C106" s="1">
        <v>70.5735</v>
      </c>
      <c r="D106" s="1">
        <v>-15.4796</v>
      </c>
      <c r="E106" s="1">
        <v>2.6988</v>
      </c>
    </row>
    <row r="109">
      <c r="A109" s="24" t="s">
        <v>731</v>
      </c>
      <c r="B109" s="1">
        <v>0.983545999999944</v>
      </c>
      <c r="C109" s="1">
        <v>87.7465</v>
      </c>
      <c r="D109" s="1">
        <v>1.6934</v>
      </c>
      <c r="E109" s="1">
        <v>2.2003</v>
      </c>
    </row>
    <row r="110">
      <c r="A110" s="23" t="s">
        <v>732</v>
      </c>
      <c r="B110" s="18">
        <v>0.983948999999946</v>
      </c>
      <c r="C110" s="18">
        <v>87.9378</v>
      </c>
      <c r="D110" s="18">
        <v>1.8846</v>
      </c>
      <c r="E110" s="18">
        <v>2.4047</v>
      </c>
    </row>
    <row r="111">
      <c r="A111" s="24" t="s">
        <v>733</v>
      </c>
      <c r="B111" s="1">
        <v>0.983566999999943</v>
      </c>
      <c r="C111" s="1">
        <v>88.0575</v>
      </c>
      <c r="D111" s="1">
        <v>2.0043</v>
      </c>
      <c r="E111" s="1">
        <v>2.5372</v>
      </c>
    </row>
    <row r="112">
      <c r="A112" s="24" t="s">
        <v>218</v>
      </c>
      <c r="B112" s="1">
        <v>0.981413999999945</v>
      </c>
      <c r="C112" s="1">
        <v>88.2754</v>
      </c>
      <c r="D112" s="1">
        <v>2.2222</v>
      </c>
      <c r="E112" s="1">
        <v>2.7862</v>
      </c>
    </row>
    <row r="114">
      <c r="A114" s="1" t="s">
        <v>201</v>
      </c>
      <c r="B114" s="1">
        <v>1.0</v>
      </c>
      <c r="C114" s="1">
        <v>2.0</v>
      </c>
      <c r="D114" s="1">
        <v>4.0</v>
      </c>
      <c r="E114" s="1">
        <v>8.0</v>
      </c>
      <c r="F114" s="1">
        <v>16.0</v>
      </c>
      <c r="G114" s="1">
        <v>32.0</v>
      </c>
      <c r="H114" s="1">
        <v>64.0</v>
      </c>
      <c r="I114" s="1">
        <v>128.0</v>
      </c>
      <c r="J114" s="1">
        <v>256.0</v>
      </c>
    </row>
    <row r="115">
      <c r="A115" s="24" t="s">
        <v>730</v>
      </c>
      <c r="B115" s="2"/>
      <c r="C115" s="1">
        <v>0.465723999999998</v>
      </c>
      <c r="D115" s="1">
        <v>0.625201999999995</v>
      </c>
      <c r="E115" s="1">
        <v>0.63107399999999</v>
      </c>
      <c r="F115" s="1">
        <v>0.863655999999978</v>
      </c>
      <c r="G115" s="1">
        <v>0.928581999999972</v>
      </c>
      <c r="H115" s="1">
        <v>0.938429999999964</v>
      </c>
      <c r="I115" s="1">
        <v>0.940928999999962</v>
      </c>
      <c r="J115" s="1">
        <v>0.941479999999964</v>
      </c>
    </row>
    <row r="116">
      <c r="D116" s="1"/>
      <c r="E116" s="1">
        <v>0.76622499999999</v>
      </c>
    </row>
    <row r="117">
      <c r="E117" s="1" t="s">
        <v>734</v>
      </c>
    </row>
    <row r="118">
      <c r="E118" s="1">
        <v>0.766467999999989</v>
      </c>
    </row>
    <row r="119">
      <c r="E119" s="1" t="s">
        <v>735</v>
      </c>
    </row>
    <row r="120">
      <c r="C120" s="1">
        <v>0.465337999999998</v>
      </c>
      <c r="D120" s="1">
        <v>0.666572999999991</v>
      </c>
      <c r="E120" s="1">
        <v>0.766270999999989</v>
      </c>
      <c r="F120" s="1">
        <v>0.882079999999976</v>
      </c>
      <c r="G120" s="1">
        <v>0.928766999999968</v>
      </c>
      <c r="H120" s="1">
        <v>0.938527999999968</v>
      </c>
      <c r="I120" s="1">
        <v>0.940928999999962</v>
      </c>
      <c r="J120" s="1">
        <v>0.941479999999964</v>
      </c>
    </row>
    <row r="121">
      <c r="C121" s="1" t="s">
        <v>736</v>
      </c>
      <c r="D121" s="1" t="s">
        <v>737</v>
      </c>
      <c r="E121" s="1" t="s">
        <v>738</v>
      </c>
      <c r="F121" s="1" t="s">
        <v>739</v>
      </c>
      <c r="G121" s="1" t="s">
        <v>740</v>
      </c>
      <c r="H121" s="1" t="s">
        <v>740</v>
      </c>
      <c r="I121" s="1" t="s">
        <v>741</v>
      </c>
      <c r="J121" s="1" t="s">
        <v>741</v>
      </c>
    </row>
    <row r="124">
      <c r="A124" s="24" t="s">
        <v>742</v>
      </c>
      <c r="B124" s="1">
        <v>0.94394299999996</v>
      </c>
      <c r="C124" s="1">
        <v>179.8735</v>
      </c>
      <c r="D124" s="17">
        <v>93.8204</v>
      </c>
      <c r="E124" s="17">
        <v>4.9782</v>
      </c>
    </row>
    <row r="125">
      <c r="A125" s="23" t="s">
        <v>743</v>
      </c>
      <c r="B125" s="18">
        <v>0.953860999999958</v>
      </c>
      <c r="C125" s="18">
        <v>110.3663</v>
      </c>
      <c r="D125" s="18">
        <v>24.3131</v>
      </c>
      <c r="E125" s="18">
        <v>8.6273</v>
      </c>
    </row>
    <row r="126">
      <c r="A126" s="24" t="s">
        <v>744</v>
      </c>
      <c r="B126" s="18">
        <v>0.953857999999961</v>
      </c>
      <c r="C126" s="18">
        <v>82.86</v>
      </c>
      <c r="D126" s="18">
        <v>3.1931</v>
      </c>
      <c r="E126" s="18">
        <v>2.992</v>
      </c>
    </row>
    <row r="128">
      <c r="A128" s="42" t="s">
        <v>745</v>
      </c>
      <c r="B128" s="1">
        <v>0.970962999999952</v>
      </c>
      <c r="C128" s="1">
        <v>64.3637</v>
      </c>
      <c r="D128" s="1">
        <v>-21.6894</v>
      </c>
      <c r="E128" s="1">
        <v>11.756</v>
      </c>
    </row>
    <row r="129">
      <c r="A129" s="43" t="s">
        <v>691</v>
      </c>
      <c r="B129" s="31">
        <v>0.974270999999951</v>
      </c>
      <c r="C129" s="31">
        <v>91.2085</v>
      </c>
      <c r="D129" s="31">
        <v>5.554</v>
      </c>
      <c r="E129" s="31">
        <v>3.6995</v>
      </c>
    </row>
    <row r="130">
      <c r="A130" s="42" t="s">
        <v>489</v>
      </c>
      <c r="B130" s="29">
        <v>0.971306999999951</v>
      </c>
      <c r="C130" s="29">
        <v>99.4796</v>
      </c>
      <c r="D130" s="29">
        <v>3.4264</v>
      </c>
      <c r="E130" s="29">
        <v>2.5667</v>
      </c>
    </row>
    <row r="132">
      <c r="A132" s="24" t="s">
        <v>684</v>
      </c>
      <c r="B132" s="1">
        <v>0.981266999999946</v>
      </c>
      <c r="C132" s="1">
        <v>88.0865</v>
      </c>
      <c r="D132" s="1">
        <v>2.0333</v>
      </c>
      <c r="E132" s="1">
        <v>2.5698</v>
      </c>
    </row>
    <row r="133">
      <c r="A133" s="23" t="s">
        <v>492</v>
      </c>
      <c r="B133" s="18">
        <v>0.981278999999948</v>
      </c>
      <c r="C133" s="18">
        <v>88.3346</v>
      </c>
      <c r="D133" s="18">
        <v>2.2815</v>
      </c>
      <c r="E133" s="18">
        <v>2.8463</v>
      </c>
    </row>
    <row r="134">
      <c r="A134" s="24" t="s">
        <v>692</v>
      </c>
      <c r="B134" s="1">
        <v>0.980104999999947</v>
      </c>
      <c r="C134" s="1">
        <v>88.5568</v>
      </c>
      <c r="D134" s="1">
        <v>2.5036</v>
      </c>
      <c r="E134" s="1">
        <v>3.1117</v>
      </c>
    </row>
    <row r="137">
      <c r="A137" s="23" t="s">
        <v>214</v>
      </c>
      <c r="B137" s="1">
        <v>1.0</v>
      </c>
      <c r="C137" s="1">
        <v>2.0</v>
      </c>
      <c r="D137" s="1">
        <v>4.0</v>
      </c>
      <c r="E137" s="1">
        <v>8.0</v>
      </c>
      <c r="F137" s="1">
        <v>16.0</v>
      </c>
      <c r="G137" s="1">
        <v>32.0</v>
      </c>
      <c r="H137" s="1">
        <v>64.0</v>
      </c>
      <c r="I137" s="1">
        <v>128.0</v>
      </c>
      <c r="J137" s="1">
        <v>256.0</v>
      </c>
    </row>
    <row r="138">
      <c r="A138" s="1">
        <v>0.0</v>
      </c>
    </row>
    <row r="139">
      <c r="A139" s="1">
        <f>1/64</f>
        <v>0.015625</v>
      </c>
      <c r="J139" s="1" t="s">
        <v>746</v>
      </c>
    </row>
    <row r="140">
      <c r="A140" s="1">
        <f>1/32</f>
        <v>0.03125</v>
      </c>
      <c r="J140" s="1" t="s">
        <v>747</v>
      </c>
    </row>
    <row r="141">
      <c r="A141" s="2">
        <f>3/64</f>
        <v>0.046875</v>
      </c>
      <c r="J141" s="1" t="s">
        <v>748</v>
      </c>
    </row>
    <row r="142">
      <c r="A142" s="2">
        <f>1/16</f>
        <v>0.0625</v>
      </c>
      <c r="J142" s="1" t="s">
        <v>749</v>
      </c>
    </row>
    <row r="143">
      <c r="A143" s="2">
        <f>5/64</f>
        <v>0.078125</v>
      </c>
    </row>
    <row r="144">
      <c r="A144" s="2">
        <f>3/32</f>
        <v>0.09375</v>
      </c>
    </row>
    <row r="145">
      <c r="A145" s="1">
        <f>7/64</f>
        <v>0.109375</v>
      </c>
    </row>
    <row r="146">
      <c r="A146" s="2">
        <f>1/8</f>
        <v>0.125</v>
      </c>
    </row>
    <row r="147">
      <c r="A147" s="1">
        <f>9/64</f>
        <v>0.140625</v>
      </c>
    </row>
    <row r="148">
      <c r="A148" s="1">
        <f>5/32</f>
        <v>0.15625</v>
      </c>
    </row>
    <row r="149">
      <c r="A149" s="2">
        <f>11/64</f>
        <v>0.171875</v>
      </c>
    </row>
    <row r="150">
      <c r="A150" s="1">
        <f>3/16</f>
        <v>0.1875</v>
      </c>
    </row>
    <row r="151">
      <c r="A151" s="2">
        <f>13/64</f>
        <v>0.203125</v>
      </c>
    </row>
    <row r="152">
      <c r="A152" s="2">
        <f>7/32</f>
        <v>0.21875</v>
      </c>
    </row>
    <row r="153">
      <c r="A153" s="2">
        <f>15/64</f>
        <v>0.234375</v>
      </c>
    </row>
    <row r="154">
      <c r="A154" s="2">
        <f>1/4</f>
        <v>0.25</v>
      </c>
    </row>
    <row r="156">
      <c r="A156" s="23" t="s">
        <v>214</v>
      </c>
      <c r="B156" s="1">
        <v>1.0</v>
      </c>
      <c r="C156" s="1">
        <v>2.0</v>
      </c>
      <c r="D156" s="1">
        <v>4.0</v>
      </c>
      <c r="E156" s="1">
        <v>8.0</v>
      </c>
      <c r="F156" s="1">
        <v>16.0</v>
      </c>
      <c r="G156" s="1">
        <v>32.0</v>
      </c>
      <c r="H156" s="1">
        <v>64.0</v>
      </c>
    </row>
    <row r="157">
      <c r="A157" s="1">
        <v>0.0</v>
      </c>
      <c r="B157" s="1"/>
      <c r="C157" s="1">
        <v>0.465317999999997</v>
      </c>
      <c r="D157" s="1">
        <v>0.66601599999999</v>
      </c>
      <c r="E157" s="1"/>
      <c r="F157" s="1"/>
      <c r="G157" s="1"/>
      <c r="H157" s="1"/>
    </row>
    <row r="158">
      <c r="A158" s="1">
        <f>1/64</f>
        <v>0.015625</v>
      </c>
      <c r="B158" s="32"/>
      <c r="C158" s="18"/>
      <c r="D158" s="18"/>
      <c r="E158" s="1"/>
      <c r="F158" s="1"/>
      <c r="G158" s="1"/>
      <c r="H158" s="1"/>
    </row>
    <row r="159">
      <c r="A159" s="1">
        <f>1/32</f>
        <v>0.03125</v>
      </c>
      <c r="C159" s="1"/>
      <c r="D159" s="1"/>
      <c r="E159" s="1"/>
      <c r="F159" s="1"/>
      <c r="G159" s="1"/>
      <c r="H159" s="1"/>
    </row>
    <row r="160">
      <c r="A160" s="2">
        <f>3/64</f>
        <v>0.046875</v>
      </c>
      <c r="C160" s="1"/>
      <c r="E160" s="1"/>
      <c r="F160" s="1"/>
      <c r="G160" s="1"/>
      <c r="H160" s="1"/>
    </row>
    <row r="161">
      <c r="A161" s="2">
        <f>1/16</f>
        <v>0.0625</v>
      </c>
      <c r="C161" s="1"/>
      <c r="D161" s="1"/>
      <c r="E161" s="1"/>
      <c r="F161" s="1"/>
      <c r="G161" s="1"/>
      <c r="H161" s="1"/>
    </row>
    <row r="162">
      <c r="A162" s="2">
        <f>5/64</f>
        <v>0.078125</v>
      </c>
      <c r="C162" s="1"/>
      <c r="E162" s="1"/>
      <c r="F162" s="1"/>
      <c r="G162" s="1"/>
      <c r="H162" s="1"/>
    </row>
    <row r="163">
      <c r="A163" s="2">
        <f>3/32</f>
        <v>0.09375</v>
      </c>
      <c r="C163" s="1"/>
      <c r="E163" s="1"/>
      <c r="F163" s="1"/>
      <c r="G163" s="33"/>
      <c r="H163" s="1"/>
    </row>
    <row r="164">
      <c r="A164" s="1">
        <f>7/64</f>
        <v>0.109375</v>
      </c>
      <c r="C164" s="1"/>
      <c r="E164" s="1"/>
      <c r="F164" s="1"/>
      <c r="G164" s="1"/>
      <c r="H164" s="33"/>
    </row>
    <row r="165">
      <c r="A165" s="2">
        <f>1/8</f>
        <v>0.125</v>
      </c>
      <c r="C165" s="1"/>
      <c r="E165" s="1"/>
      <c r="F165" s="1"/>
      <c r="G165" s="1"/>
      <c r="H165" s="1"/>
    </row>
    <row r="166">
      <c r="A166" s="1">
        <f>9/64</f>
        <v>0.140625</v>
      </c>
      <c r="C166" s="1"/>
      <c r="E166" s="1" t="s">
        <v>750</v>
      </c>
      <c r="F166" s="1"/>
      <c r="G166" s="1"/>
      <c r="H166" s="1"/>
    </row>
    <row r="167">
      <c r="A167" s="1">
        <f>5/32</f>
        <v>0.15625</v>
      </c>
      <c r="C167" s="1"/>
      <c r="E167" s="18" t="s">
        <v>751</v>
      </c>
      <c r="F167" s="1"/>
      <c r="G167" s="1"/>
      <c r="H167" s="1"/>
    </row>
    <row r="168">
      <c r="A168" s="2">
        <f>11/64</f>
        <v>0.171875</v>
      </c>
      <c r="C168" s="39"/>
      <c r="E168" s="1" t="s">
        <v>752</v>
      </c>
      <c r="F168" s="1"/>
      <c r="G168" s="1"/>
      <c r="H168" s="1"/>
    </row>
    <row r="169">
      <c r="A169" s="1">
        <f>3/16</f>
        <v>0.1875</v>
      </c>
      <c r="E169" s="1" t="s">
        <v>753</v>
      </c>
      <c r="F169" s="1"/>
      <c r="G169" s="1"/>
      <c r="H169" s="1"/>
    </row>
    <row r="170">
      <c r="A170" s="2">
        <f>13/64</f>
        <v>0.203125</v>
      </c>
      <c r="E170" s="1" t="s">
        <v>754</v>
      </c>
      <c r="F170" s="1"/>
      <c r="G170" s="1"/>
      <c r="H170" s="1"/>
    </row>
    <row r="171">
      <c r="A171" s="2">
        <f>7/32</f>
        <v>0.21875</v>
      </c>
      <c r="E171" s="1" t="s">
        <v>755</v>
      </c>
      <c r="F171" s="1" t="s">
        <v>756</v>
      </c>
      <c r="G171" s="1"/>
      <c r="H171" s="1"/>
    </row>
    <row r="172">
      <c r="A172" s="2">
        <f>15/64</f>
        <v>0.234375</v>
      </c>
      <c r="E172" s="1" t="s">
        <v>757</v>
      </c>
      <c r="F172" s="18" t="s">
        <v>758</v>
      </c>
      <c r="G172" s="1" t="s">
        <v>759</v>
      </c>
      <c r="H172" s="1" t="s">
        <v>760</v>
      </c>
    </row>
    <row r="173">
      <c r="A173" s="2">
        <f>1/4</f>
        <v>0.25</v>
      </c>
      <c r="F173" s="1" t="s">
        <v>761</v>
      </c>
      <c r="G173" s="18" t="s">
        <v>762</v>
      </c>
      <c r="H173" s="18" t="s">
        <v>763</v>
      </c>
    </row>
    <row r="174">
      <c r="A174" s="2">
        <f>17/64</f>
        <v>0.265625</v>
      </c>
      <c r="G174" s="1" t="s">
        <v>764</v>
      </c>
      <c r="H174" s="1" t="s">
        <v>765</v>
      </c>
    </row>
    <row r="177">
      <c r="A177" s="23" t="s">
        <v>373</v>
      </c>
      <c r="B177" s="1">
        <v>1.0</v>
      </c>
      <c r="C177" s="1">
        <v>2.0</v>
      </c>
      <c r="D177" s="1">
        <v>4.0</v>
      </c>
      <c r="E177" s="1">
        <v>8.0</v>
      </c>
      <c r="F177" s="1">
        <v>16.0</v>
      </c>
      <c r="G177" s="1">
        <v>32.0</v>
      </c>
      <c r="H177" s="1">
        <v>64.0</v>
      </c>
    </row>
    <row r="178">
      <c r="A178" s="1">
        <v>0.0</v>
      </c>
      <c r="B178" s="1"/>
      <c r="C178" s="1">
        <v>0.465317999999997</v>
      </c>
      <c r="D178" s="1">
        <v>0.66601599999999</v>
      </c>
      <c r="E178" s="1"/>
      <c r="F178" s="1"/>
      <c r="G178" s="1"/>
      <c r="H178" s="1"/>
    </row>
    <row r="179">
      <c r="A179" s="1">
        <f>1/64</f>
        <v>0.015625</v>
      </c>
      <c r="B179" s="32"/>
      <c r="C179" s="18"/>
      <c r="D179" s="18"/>
      <c r="E179" s="1"/>
      <c r="F179" s="1"/>
      <c r="G179" s="1"/>
      <c r="H179" s="1"/>
    </row>
    <row r="180">
      <c r="A180" s="1">
        <f>1/32</f>
        <v>0.03125</v>
      </c>
      <c r="C180" s="1"/>
      <c r="D180" s="1"/>
      <c r="E180" s="1"/>
      <c r="F180" s="1"/>
      <c r="G180" s="1"/>
      <c r="H180" s="1"/>
    </row>
    <row r="181">
      <c r="A181" s="2">
        <f>3/64</f>
        <v>0.046875</v>
      </c>
      <c r="C181" s="1"/>
      <c r="E181" s="1"/>
      <c r="F181" s="1"/>
      <c r="G181" s="1"/>
      <c r="H181" s="1"/>
    </row>
    <row r="182">
      <c r="A182" s="2">
        <f>1/16</f>
        <v>0.0625</v>
      </c>
      <c r="C182" s="1"/>
      <c r="D182" s="1"/>
      <c r="E182" s="1"/>
      <c r="F182" s="1"/>
      <c r="G182" s="1"/>
      <c r="H182" s="1"/>
    </row>
    <row r="183">
      <c r="A183" s="2">
        <f>5/64</f>
        <v>0.078125</v>
      </c>
      <c r="C183" s="1"/>
      <c r="E183" s="1"/>
      <c r="F183" s="1"/>
      <c r="G183" s="1"/>
      <c r="H183" s="1"/>
    </row>
    <row r="184">
      <c r="A184" s="2">
        <f>3/32</f>
        <v>0.09375</v>
      </c>
      <c r="C184" s="1"/>
      <c r="E184" s="1"/>
      <c r="F184" s="1"/>
      <c r="G184" s="33"/>
      <c r="H184" s="1"/>
    </row>
    <row r="185">
      <c r="A185" s="1">
        <f>7/64</f>
        <v>0.109375</v>
      </c>
      <c r="C185" s="1"/>
      <c r="E185" s="1"/>
      <c r="F185" s="1"/>
      <c r="G185" s="1"/>
      <c r="H185" s="33"/>
    </row>
    <row r="186">
      <c r="A186" s="2">
        <f>1/8</f>
        <v>0.125</v>
      </c>
      <c r="C186" s="1"/>
      <c r="E186" s="1"/>
      <c r="F186" s="1"/>
      <c r="G186" s="1"/>
      <c r="H186" s="1"/>
    </row>
    <row r="187">
      <c r="A187" s="1">
        <f>9/64</f>
        <v>0.140625</v>
      </c>
      <c r="C187" s="1"/>
      <c r="E187" s="18"/>
      <c r="F187" s="1"/>
      <c r="G187" s="1"/>
      <c r="H187" s="1"/>
    </row>
    <row r="188">
      <c r="A188" s="1">
        <f>5/32</f>
        <v>0.15625</v>
      </c>
      <c r="C188" s="1"/>
      <c r="E188" s="1"/>
      <c r="F188" s="1"/>
      <c r="G188" s="1"/>
      <c r="H188" s="1"/>
    </row>
    <row r="189">
      <c r="A189" s="2">
        <f>11/64</f>
        <v>0.171875</v>
      </c>
      <c r="C189" s="39"/>
      <c r="E189" s="1"/>
      <c r="F189" s="1"/>
      <c r="G189" s="1"/>
      <c r="H189" s="1"/>
    </row>
    <row r="190">
      <c r="A190" s="1">
        <f>3/16</f>
        <v>0.1875</v>
      </c>
      <c r="F190" s="1"/>
      <c r="G190" s="1"/>
      <c r="H190" s="1"/>
    </row>
    <row r="191">
      <c r="A191" s="2">
        <f>13/64</f>
        <v>0.203125</v>
      </c>
      <c r="E191" s="2"/>
      <c r="F191" s="1"/>
      <c r="G191" s="1"/>
      <c r="H191" s="1"/>
    </row>
    <row r="192">
      <c r="A192" s="2">
        <f>7/32</f>
        <v>0.21875</v>
      </c>
      <c r="E192" s="2"/>
      <c r="F192" s="18"/>
      <c r="G192" s="1"/>
      <c r="H192" s="1"/>
    </row>
    <row r="193">
      <c r="A193" s="2">
        <f>15/64</f>
        <v>0.234375</v>
      </c>
      <c r="E193" s="2"/>
      <c r="F193" s="1"/>
      <c r="G193" s="1"/>
      <c r="H193" s="1"/>
    </row>
    <row r="194">
      <c r="A194" s="2">
        <f>1/4</f>
        <v>0.25</v>
      </c>
      <c r="E194" s="1" t="s">
        <v>766</v>
      </c>
      <c r="G194" s="18"/>
      <c r="H194" s="18"/>
    </row>
    <row r="195">
      <c r="A195" s="2">
        <f>17/64</f>
        <v>0.265625</v>
      </c>
      <c r="E195" s="1" t="s">
        <v>767</v>
      </c>
      <c r="G195" s="1"/>
      <c r="H195" s="1"/>
    </row>
    <row r="196">
      <c r="A196" s="1">
        <f>9/32</f>
        <v>0.28125</v>
      </c>
      <c r="E196" s="1" t="s">
        <v>768</v>
      </c>
      <c r="F196" s="17" t="s">
        <v>769</v>
      </c>
      <c r="H196" s="1" t="s">
        <v>770</v>
      </c>
    </row>
    <row r="197">
      <c r="A197" s="1">
        <f>19/64</f>
        <v>0.296875</v>
      </c>
      <c r="E197" s="1" t="s">
        <v>771</v>
      </c>
      <c r="F197" s="39" t="s">
        <v>772</v>
      </c>
      <c r="G197" s="1" t="s">
        <v>773</v>
      </c>
      <c r="H197" s="1" t="s">
        <v>774</v>
      </c>
    </row>
    <row r="198">
      <c r="A198" s="2">
        <f>5/16</f>
        <v>0.3125</v>
      </c>
      <c r="F198" s="17" t="s">
        <v>775</v>
      </c>
      <c r="G198" s="18" t="s">
        <v>776</v>
      </c>
      <c r="H198" s="1" t="s">
        <v>777</v>
      </c>
    </row>
    <row r="199">
      <c r="A199" s="9">
        <f>21/64</f>
        <v>0.328125</v>
      </c>
      <c r="B199" s="14"/>
      <c r="C199" s="14"/>
      <c r="D199" s="14"/>
      <c r="E199" s="14"/>
      <c r="F199" s="14"/>
      <c r="G199" s="9" t="s">
        <v>778</v>
      </c>
      <c r="H199" s="34" t="s">
        <v>779</v>
      </c>
    </row>
    <row r="200">
      <c r="A200" s="2">
        <f>11/32</f>
        <v>0.34375</v>
      </c>
      <c r="H200" s="1" t="s">
        <v>780</v>
      </c>
    </row>
    <row r="201">
      <c r="A201" s="2">
        <f>23/64</f>
        <v>0.359375</v>
      </c>
    </row>
    <row r="202">
      <c r="A202" s="2"/>
    </row>
    <row r="204">
      <c r="A204" s="1">
        <f>5/32</f>
        <v>0.15625</v>
      </c>
      <c r="H204" s="2"/>
    </row>
    <row r="205">
      <c r="A205" s="2">
        <f>11/64</f>
        <v>0.171875</v>
      </c>
      <c r="F205" s="17" t="s">
        <v>781</v>
      </c>
      <c r="G205" s="1" t="s">
        <v>782</v>
      </c>
      <c r="H205" s="1" t="s">
        <v>783</v>
      </c>
    </row>
    <row r="206">
      <c r="A206" s="1">
        <f>3/16</f>
        <v>0.1875</v>
      </c>
      <c r="F206" s="34" t="s">
        <v>784</v>
      </c>
      <c r="G206" s="34" t="s">
        <v>785</v>
      </c>
      <c r="H206" s="1" t="s">
        <v>786</v>
      </c>
    </row>
    <row r="207">
      <c r="A207" s="2">
        <f>13/64</f>
        <v>0.203125</v>
      </c>
      <c r="G207" s="4" t="s">
        <v>787</v>
      </c>
      <c r="H207" s="34" t="s">
        <v>788</v>
      </c>
    </row>
    <row r="208">
      <c r="A208" s="2">
        <f>7/32</f>
        <v>0.21875</v>
      </c>
      <c r="H208" s="1" t="s">
        <v>789</v>
      </c>
    </row>
    <row r="209">
      <c r="A209" s="2">
        <f>15/64</f>
        <v>0.234375</v>
      </c>
    </row>
    <row r="210">
      <c r="A210" s="2">
        <f>16/64</f>
        <v>0.25</v>
      </c>
    </row>
    <row r="211">
      <c r="A211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4.13"/>
    <col customWidth="1" min="2" max="2" width="36.88"/>
    <col customWidth="1" min="3" max="3" width="25.13"/>
    <col customWidth="1" min="4" max="5" width="27.38"/>
    <col customWidth="1" min="6" max="6" width="26.88"/>
    <col customWidth="1" min="7" max="7" width="27.5"/>
    <col customWidth="1" min="8" max="8" width="29.75"/>
    <col customWidth="1" min="9" max="9" width="25.88"/>
    <col customWidth="1" min="10" max="10" width="29.0"/>
    <col customWidth="1" min="11" max="11" width="32.25"/>
    <col customWidth="1" min="12" max="12" width="29.75"/>
    <col customWidth="1" min="13" max="13" width="29.63"/>
    <col customWidth="1" min="14" max="14" width="32.38"/>
    <col customWidth="1" min="15" max="15" width="34.25"/>
    <col customWidth="1" min="16" max="16" width="25.25"/>
    <col customWidth="1" min="17" max="17" width="27.75"/>
  </cols>
  <sheetData>
    <row r="1">
      <c r="A1" s="1" t="s">
        <v>790</v>
      </c>
    </row>
    <row r="2">
      <c r="A2" s="3" t="s">
        <v>6</v>
      </c>
      <c r="B2" s="1" t="s">
        <v>93</v>
      </c>
      <c r="C2" s="1" t="s">
        <v>8</v>
      </c>
      <c r="D2" s="1" t="s">
        <v>9</v>
      </c>
      <c r="E2" s="1" t="s">
        <v>10</v>
      </c>
    </row>
    <row r="3">
      <c r="A3" s="4" t="s">
        <v>11</v>
      </c>
      <c r="B3" s="1">
        <v>0.9991</v>
      </c>
      <c r="C3" s="1">
        <v>89.1147</v>
      </c>
      <c r="D3" s="1">
        <v>89.1147</v>
      </c>
      <c r="E3" s="1">
        <v>3.7375</v>
      </c>
      <c r="F3" s="5" t="s">
        <v>12</v>
      </c>
      <c r="K3" s="21" t="s">
        <v>104</v>
      </c>
      <c r="P3" s="1" t="s">
        <v>791</v>
      </c>
    </row>
    <row r="4">
      <c r="A4" s="5" t="s">
        <v>16</v>
      </c>
      <c r="B4" s="1"/>
      <c r="C4" s="1" t="s">
        <v>8</v>
      </c>
      <c r="D4" s="1" t="s">
        <v>14</v>
      </c>
      <c r="E4" s="1" t="s">
        <v>15</v>
      </c>
      <c r="F4" s="5" t="s">
        <v>16</v>
      </c>
      <c r="H4" s="1" t="s">
        <v>8</v>
      </c>
      <c r="I4" s="1" t="s">
        <v>14</v>
      </c>
      <c r="J4" s="1" t="s">
        <v>15</v>
      </c>
      <c r="K4" s="21" t="s">
        <v>105</v>
      </c>
      <c r="M4" s="1" t="s">
        <v>8</v>
      </c>
      <c r="N4" s="1" t="s">
        <v>14</v>
      </c>
      <c r="O4" s="1" t="s">
        <v>15</v>
      </c>
      <c r="P4" s="6" t="s">
        <v>13</v>
      </c>
      <c r="Q4" s="1"/>
      <c r="R4" s="1" t="s">
        <v>8</v>
      </c>
      <c r="S4" s="1" t="s">
        <v>14</v>
      </c>
      <c r="T4" s="1" t="s">
        <v>15</v>
      </c>
      <c r="U4" s="1" t="s">
        <v>106</v>
      </c>
      <c r="V4" s="1" t="s">
        <v>107</v>
      </c>
    </row>
    <row r="5">
      <c r="A5" s="8" t="s">
        <v>18</v>
      </c>
      <c r="B5" s="4">
        <v>0.9991</v>
      </c>
      <c r="C5" s="4">
        <v>85.9094</v>
      </c>
      <c r="D5" s="4">
        <v>-3.2053</v>
      </c>
      <c r="E5" s="4">
        <v>3.9324</v>
      </c>
      <c r="F5" s="8" t="s">
        <v>19</v>
      </c>
      <c r="G5" s="1">
        <v>0.9991</v>
      </c>
      <c r="H5" s="1">
        <v>89.1147</v>
      </c>
      <c r="I5" s="1">
        <v>0.0</v>
      </c>
      <c r="J5" s="1">
        <v>0.0</v>
      </c>
      <c r="K5" s="22" t="s">
        <v>19</v>
      </c>
      <c r="L5" s="1">
        <v>0.996391999999973</v>
      </c>
      <c r="M5" s="1">
        <v>89.1648</v>
      </c>
      <c r="N5" s="1">
        <v>0.05</v>
      </c>
      <c r="O5" s="1">
        <v>1.0241</v>
      </c>
      <c r="P5" s="7">
        <v>256.0</v>
      </c>
      <c r="Q5" s="1">
        <v>0.491576999999994</v>
      </c>
      <c r="R5" s="1">
        <v>89.0245</v>
      </c>
      <c r="S5" s="1">
        <v>-0.0874</v>
      </c>
      <c r="T5" s="1">
        <v>5.6128</v>
      </c>
      <c r="U5" s="1">
        <f t="shared" ref="U5:U44" si="1">SQRT(1/(4*P5))*180</f>
        <v>5.625</v>
      </c>
      <c r="V5" s="1">
        <v>0.600426999999996</v>
      </c>
      <c r="W5" s="1">
        <v>0.667335999999992</v>
      </c>
    </row>
    <row r="6">
      <c r="A6" s="8" t="s">
        <v>21</v>
      </c>
      <c r="B6" s="4">
        <v>0.9991</v>
      </c>
      <c r="C6" s="4">
        <v>85.4322</v>
      </c>
      <c r="D6" s="4">
        <v>-3.6825</v>
      </c>
      <c r="E6" s="4">
        <v>3.9599</v>
      </c>
      <c r="F6" s="8" t="s">
        <v>22</v>
      </c>
      <c r="G6" s="1">
        <v>0.9991</v>
      </c>
      <c r="H6" s="1">
        <v>89.1147</v>
      </c>
      <c r="I6" s="1">
        <v>0.0</v>
      </c>
      <c r="J6" s="1">
        <v>0.0</v>
      </c>
      <c r="K6" s="22" t="s">
        <v>22</v>
      </c>
      <c r="L6" s="1">
        <v>0.994700999999965</v>
      </c>
      <c r="M6" s="1">
        <v>89.1718</v>
      </c>
      <c r="N6" s="1">
        <v>0.057</v>
      </c>
      <c r="O6" s="1">
        <v>1.0992</v>
      </c>
      <c r="P6" s="7">
        <v>512.0</v>
      </c>
      <c r="Q6" s="1">
        <v>0.681307999999991</v>
      </c>
      <c r="R6" s="1">
        <v>89.1513</v>
      </c>
      <c r="S6" s="1">
        <v>0.0394</v>
      </c>
      <c r="T6" s="1">
        <v>3.9847</v>
      </c>
      <c r="U6" s="1">
        <f t="shared" si="1"/>
        <v>3.977475644</v>
      </c>
      <c r="V6" s="1">
        <v>0.724185999999989</v>
      </c>
      <c r="W6" s="1">
        <v>0.826564999999989</v>
      </c>
    </row>
    <row r="7">
      <c r="A7" s="8" t="s">
        <v>24</v>
      </c>
      <c r="B7" s="4">
        <v>0.999097999999999</v>
      </c>
      <c r="C7" s="4">
        <v>84.8039</v>
      </c>
      <c r="D7" s="4">
        <v>-4.3108</v>
      </c>
      <c r="E7" s="4">
        <v>3.9958</v>
      </c>
      <c r="F7" s="8" t="s">
        <v>25</v>
      </c>
      <c r="G7" s="1">
        <v>0.9991</v>
      </c>
      <c r="H7" s="1">
        <v>89.1147</v>
      </c>
      <c r="I7" s="1">
        <v>0.0</v>
      </c>
      <c r="J7" s="1">
        <v>0.0</v>
      </c>
      <c r="K7" s="22" t="s">
        <v>25</v>
      </c>
      <c r="L7" s="1">
        <v>0.991645999999956</v>
      </c>
      <c r="M7" s="1">
        <v>89.1808</v>
      </c>
      <c r="N7" s="1">
        <v>0.0661</v>
      </c>
      <c r="O7" s="1">
        <v>1.1922</v>
      </c>
      <c r="P7" s="7">
        <v>768.0</v>
      </c>
      <c r="Q7" s="1">
        <v>0.78169399999999</v>
      </c>
      <c r="R7" s="1">
        <v>89.0666</v>
      </c>
      <c r="S7" s="1">
        <v>-0.0453</v>
      </c>
      <c r="T7" s="1">
        <v>3.2405</v>
      </c>
      <c r="U7" s="1">
        <f t="shared" si="1"/>
        <v>3.247595264</v>
      </c>
      <c r="V7" s="1">
        <v>0.778073999999992</v>
      </c>
      <c r="W7" s="1">
        <v>0.895737999999985</v>
      </c>
    </row>
    <row r="8">
      <c r="A8" s="8" t="s">
        <v>27</v>
      </c>
      <c r="B8" s="4">
        <v>0.999091999999999</v>
      </c>
      <c r="C8" s="4">
        <v>83.939</v>
      </c>
      <c r="D8" s="4">
        <v>-5.1758</v>
      </c>
      <c r="E8" s="4">
        <v>4.0447</v>
      </c>
      <c r="F8" s="8" t="s">
        <v>28</v>
      </c>
      <c r="G8" s="1">
        <v>0.9991</v>
      </c>
      <c r="H8" s="1">
        <v>89.1147</v>
      </c>
      <c r="I8" s="1">
        <v>0.0</v>
      </c>
      <c r="J8" s="1">
        <v>0.0</v>
      </c>
      <c r="K8" s="22" t="s">
        <v>28</v>
      </c>
      <c r="L8" s="1">
        <v>0.985964999999953</v>
      </c>
      <c r="M8" s="1">
        <v>89.1938</v>
      </c>
      <c r="N8" s="1">
        <v>0.0791</v>
      </c>
      <c r="O8" s="1">
        <v>1.3119</v>
      </c>
      <c r="P8" s="7">
        <v>1024.0</v>
      </c>
      <c r="Q8" s="1">
        <v>0.840372999999983</v>
      </c>
      <c r="R8" s="1">
        <v>89.0396</v>
      </c>
      <c r="S8" s="1">
        <v>-0.0723</v>
      </c>
      <c r="T8" s="1">
        <v>2.8185</v>
      </c>
      <c r="U8" s="1">
        <f t="shared" si="1"/>
        <v>2.8125</v>
      </c>
      <c r="V8" s="1">
        <v>0.809147999999989</v>
      </c>
      <c r="W8" s="1">
        <v>0.935465999999978</v>
      </c>
    </row>
    <row r="9">
      <c r="A9" s="8" t="s">
        <v>30</v>
      </c>
      <c r="B9" s="4">
        <v>0.999033999999999</v>
      </c>
      <c r="C9" s="4">
        <v>82.6745</v>
      </c>
      <c r="D9" s="4">
        <v>-6.4403</v>
      </c>
      <c r="E9" s="4">
        <v>4.1153</v>
      </c>
      <c r="F9" s="8" t="s">
        <v>31</v>
      </c>
      <c r="G9" s="1">
        <v>0.9991</v>
      </c>
      <c r="H9" s="1">
        <v>89.1147</v>
      </c>
      <c r="I9" s="1">
        <v>0.0</v>
      </c>
      <c r="J9" s="1">
        <v>0.0</v>
      </c>
      <c r="K9" s="22" t="s">
        <v>31</v>
      </c>
      <c r="L9" s="1">
        <v>0.974598999999958</v>
      </c>
      <c r="M9" s="1">
        <v>89.2131</v>
      </c>
      <c r="N9" s="1">
        <v>0.0983</v>
      </c>
      <c r="O9" s="1">
        <v>1.4739</v>
      </c>
      <c r="P9" s="7">
        <v>1280.0</v>
      </c>
      <c r="Q9" s="1">
        <v>0.883141999999988</v>
      </c>
      <c r="R9" s="1">
        <v>89.0665</v>
      </c>
      <c r="S9" s="1">
        <v>-0.0455</v>
      </c>
      <c r="T9" s="1">
        <v>2.5081</v>
      </c>
      <c r="U9" s="1">
        <f t="shared" si="1"/>
        <v>2.515576475</v>
      </c>
      <c r="V9" s="1">
        <v>0.827586999999985</v>
      </c>
      <c r="W9" s="1">
        <v>0.95566599999997</v>
      </c>
    </row>
    <row r="10">
      <c r="A10" s="8" t="s">
        <v>33</v>
      </c>
      <c r="B10" s="4">
        <v>0.998644999999993</v>
      </c>
      <c r="C10" s="4">
        <v>80.6574</v>
      </c>
      <c r="D10" s="4">
        <v>-8.4573</v>
      </c>
      <c r="E10" s="4">
        <v>4.226</v>
      </c>
      <c r="F10" s="8" t="s">
        <v>34</v>
      </c>
      <c r="G10" s="1">
        <v>0.9991</v>
      </c>
      <c r="H10" s="1">
        <v>89.1147</v>
      </c>
      <c r="I10" s="1">
        <v>0.0</v>
      </c>
      <c r="J10" s="1">
        <v>0.0</v>
      </c>
      <c r="K10" s="22" t="s">
        <v>34</v>
      </c>
      <c r="L10" s="1">
        <v>0.94840399999997</v>
      </c>
      <c r="M10" s="1">
        <v>89.2442</v>
      </c>
      <c r="N10" s="1">
        <v>0.1294</v>
      </c>
      <c r="O10" s="1">
        <v>1.7114</v>
      </c>
      <c r="P10" s="7">
        <v>1536.0</v>
      </c>
      <c r="Q10" s="1">
        <v>0.909733999999984</v>
      </c>
      <c r="R10" s="1">
        <v>89.0895</v>
      </c>
      <c r="S10" s="1">
        <v>-0.0224</v>
      </c>
      <c r="T10" s="1">
        <v>2.2953</v>
      </c>
      <c r="U10" s="1">
        <f t="shared" si="1"/>
        <v>2.296396634</v>
      </c>
      <c r="V10" s="1">
        <v>0.840615999999987</v>
      </c>
      <c r="W10" s="1">
        <v>0.969073999999966</v>
      </c>
    </row>
    <row r="11">
      <c r="A11" s="8" t="s">
        <v>36</v>
      </c>
      <c r="B11" s="4">
        <v>0.996135999999972</v>
      </c>
      <c r="C11" s="4">
        <v>76.9431</v>
      </c>
      <c r="D11" s="4">
        <v>-12.1716</v>
      </c>
      <c r="E11" s="4">
        <v>4.4261</v>
      </c>
      <c r="F11" s="8" t="s">
        <v>37</v>
      </c>
      <c r="G11" s="1">
        <v>0.9991</v>
      </c>
      <c r="H11" s="1">
        <v>89.1147</v>
      </c>
      <c r="I11" s="1">
        <v>0.0</v>
      </c>
      <c r="J11" s="1">
        <v>0.0</v>
      </c>
      <c r="K11" s="22" t="s">
        <v>37</v>
      </c>
      <c r="L11" s="1">
        <v>0.879308999999981</v>
      </c>
      <c r="M11" s="1">
        <v>89.3003</v>
      </c>
      <c r="N11" s="1">
        <v>0.1855</v>
      </c>
      <c r="O11" s="1">
        <v>2.1131</v>
      </c>
      <c r="P11" s="7">
        <v>1792.0</v>
      </c>
      <c r="Q11" s="1">
        <v>0.92945299999998</v>
      </c>
      <c r="R11" s="1">
        <v>89.092</v>
      </c>
      <c r="S11" s="1">
        <v>-0.0199</v>
      </c>
      <c r="T11" s="1">
        <v>2.1268</v>
      </c>
      <c r="U11" s="1">
        <f t="shared" si="1"/>
        <v>2.126050161</v>
      </c>
      <c r="V11" s="1">
        <v>0.850825999999983</v>
      </c>
      <c r="W11" s="1">
        <v>0.978803999999957</v>
      </c>
    </row>
    <row r="12">
      <c r="A12" s="8" t="s">
        <v>108</v>
      </c>
      <c r="B12" s="4">
        <v>0.974617999999962</v>
      </c>
      <c r="C12" s="4">
        <v>67.9555</v>
      </c>
      <c r="D12" s="4">
        <v>-21.1592</v>
      </c>
      <c r="E12" s="4">
        <v>4.9224</v>
      </c>
      <c r="F12" s="8" t="s">
        <v>109</v>
      </c>
      <c r="G12" s="1">
        <v>0.9991</v>
      </c>
      <c r="H12" s="1">
        <v>89.1147</v>
      </c>
      <c r="I12" s="1">
        <v>0.0</v>
      </c>
      <c r="J12" s="1">
        <v>0.0</v>
      </c>
      <c r="K12" s="22" t="s">
        <v>109</v>
      </c>
      <c r="L12" s="1">
        <v>0.629526999999993</v>
      </c>
      <c r="M12" s="1">
        <v>89.432</v>
      </c>
      <c r="N12" s="1">
        <v>0.3173</v>
      </c>
      <c r="O12" s="1">
        <v>3.0736</v>
      </c>
      <c r="P12" s="7">
        <v>2048.0</v>
      </c>
      <c r="Q12" s="1">
        <v>0.945002999999975</v>
      </c>
      <c r="R12" s="1">
        <v>89.0602</v>
      </c>
      <c r="S12" s="1">
        <v>-0.0517</v>
      </c>
      <c r="T12" s="1">
        <v>1.988</v>
      </c>
      <c r="U12" s="1">
        <f t="shared" si="1"/>
        <v>1.988737822</v>
      </c>
      <c r="V12" s="1">
        <v>0.857556999999985</v>
      </c>
      <c r="W12" s="1">
        <v>0.984294999999957</v>
      </c>
    </row>
    <row r="13">
      <c r="A13" s="8" t="s">
        <v>39</v>
      </c>
      <c r="B13" s="4">
        <v>0.999061999999999</v>
      </c>
      <c r="C13" s="4">
        <v>92.3169</v>
      </c>
      <c r="D13" s="4">
        <v>3.2022</v>
      </c>
      <c r="E13" s="4">
        <v>3.9321</v>
      </c>
      <c r="F13" s="10" t="s">
        <v>40</v>
      </c>
      <c r="G13" s="4"/>
      <c r="H13" s="11"/>
      <c r="I13" s="11"/>
      <c r="J13" s="11"/>
      <c r="K13" s="21" t="s">
        <v>110</v>
      </c>
      <c r="M13" s="1" t="s">
        <v>8</v>
      </c>
      <c r="N13" s="1" t="s">
        <v>14</v>
      </c>
      <c r="O13" s="1" t="s">
        <v>15</v>
      </c>
      <c r="P13" s="7">
        <v>2304.0</v>
      </c>
      <c r="Q13" s="1">
        <v>0.955817999999969</v>
      </c>
      <c r="R13" s="1">
        <v>89.0873</v>
      </c>
      <c r="S13" s="1">
        <v>-0.0247</v>
      </c>
      <c r="T13" s="1">
        <v>1.8797</v>
      </c>
      <c r="U13" s="1">
        <f t="shared" si="1"/>
        <v>1.875</v>
      </c>
      <c r="V13" s="1">
        <v>0.863388999999984</v>
      </c>
      <c r="W13" s="1">
        <v>0.988391999999954</v>
      </c>
    </row>
    <row r="14">
      <c r="A14" s="8" t="s">
        <v>42</v>
      </c>
      <c r="B14" s="4">
        <v>0.999039999999999</v>
      </c>
      <c r="C14" s="4">
        <v>92.7932</v>
      </c>
      <c r="D14" s="4">
        <v>3.6784</v>
      </c>
      <c r="E14" s="4">
        <v>3.9595</v>
      </c>
      <c r="F14" s="12" t="s">
        <v>19</v>
      </c>
      <c r="G14" s="1">
        <v>0.996749999999976</v>
      </c>
      <c r="H14" s="1">
        <v>89.0499</v>
      </c>
      <c r="I14" s="1">
        <v>-0.0648</v>
      </c>
      <c r="J14" s="1">
        <v>1.2097</v>
      </c>
      <c r="K14" s="22" t="s">
        <v>19</v>
      </c>
      <c r="L14" s="1">
        <v>0.996778999999975</v>
      </c>
      <c r="M14" s="1">
        <v>89.1129</v>
      </c>
      <c r="N14" s="1">
        <v>-0.0019</v>
      </c>
      <c r="O14" s="1">
        <v>1.0711</v>
      </c>
      <c r="P14" s="7">
        <v>2560.0</v>
      </c>
      <c r="Q14" s="1">
        <v>0.963987999999964</v>
      </c>
      <c r="R14" s="1">
        <v>89.0833</v>
      </c>
      <c r="S14" s="1">
        <v>-0.0286</v>
      </c>
      <c r="T14" s="1">
        <v>1.7852</v>
      </c>
      <c r="U14" s="1">
        <f t="shared" si="1"/>
        <v>1.778781184</v>
      </c>
      <c r="V14" s="1">
        <v>0.868437999999983</v>
      </c>
      <c r="W14" s="1">
        <v>0.991512999999956</v>
      </c>
    </row>
    <row r="15">
      <c r="A15" s="8" t="s">
        <v>44</v>
      </c>
      <c r="B15" s="4">
        <v>0.998985999999998</v>
      </c>
      <c r="C15" s="4">
        <v>93.42</v>
      </c>
      <c r="D15" s="4">
        <v>4.3053</v>
      </c>
      <c r="E15" s="4">
        <v>3.9952</v>
      </c>
      <c r="F15" s="12" t="s">
        <v>22</v>
      </c>
      <c r="G15" s="1">
        <v>0.994959999999966</v>
      </c>
      <c r="H15" s="1">
        <v>89.0384</v>
      </c>
      <c r="I15" s="1">
        <v>-0.0763</v>
      </c>
      <c r="J15" s="1">
        <v>1.3334</v>
      </c>
      <c r="K15" s="22" t="s">
        <v>22</v>
      </c>
      <c r="L15" s="1">
        <v>0.995167999999968</v>
      </c>
      <c r="M15" s="1">
        <v>89.1125</v>
      </c>
      <c r="N15" s="1">
        <v>-0.0022</v>
      </c>
      <c r="O15" s="1">
        <v>1.1574</v>
      </c>
      <c r="P15" s="7">
        <v>2816.0</v>
      </c>
      <c r="Q15" s="1">
        <v>0.970990999999962</v>
      </c>
      <c r="R15" s="1">
        <v>89.0796</v>
      </c>
      <c r="S15" s="1">
        <v>-0.0323</v>
      </c>
      <c r="T15" s="1">
        <v>1.7004</v>
      </c>
      <c r="U15" s="1">
        <f t="shared" si="1"/>
        <v>1.696001313</v>
      </c>
      <c r="V15" s="1">
        <v>0.871613999999985</v>
      </c>
      <c r="W15" s="1">
        <v>0.993472999999959</v>
      </c>
    </row>
    <row r="16">
      <c r="A16" s="8" t="s">
        <v>45</v>
      </c>
      <c r="B16" s="4">
        <v>0.998880999999996</v>
      </c>
      <c r="C16" s="4">
        <v>94.2877</v>
      </c>
      <c r="D16" s="4">
        <v>5.1679</v>
      </c>
      <c r="E16" s="4">
        <v>4.0439</v>
      </c>
      <c r="F16" s="12" t="s">
        <v>25</v>
      </c>
      <c r="G16" s="1">
        <v>0.991382999999957</v>
      </c>
      <c r="H16" s="1">
        <v>89.022</v>
      </c>
      <c r="I16" s="1">
        <v>-0.0928</v>
      </c>
      <c r="J16" s="1">
        <v>1.4999</v>
      </c>
      <c r="K16" s="22" t="s">
        <v>25</v>
      </c>
      <c r="L16" s="1">
        <v>0.992233999999958</v>
      </c>
      <c r="M16" s="1">
        <v>89.1118</v>
      </c>
      <c r="N16" s="1">
        <v>-0.0029</v>
      </c>
      <c r="O16" s="1">
        <v>1.2667</v>
      </c>
      <c r="P16" s="7">
        <v>3072.0</v>
      </c>
      <c r="Q16" s="1">
        <v>0.975943999999959</v>
      </c>
      <c r="R16" s="1">
        <v>89.0995</v>
      </c>
      <c r="S16" s="1">
        <v>-0.0124</v>
      </c>
      <c r="T16" s="1">
        <v>1.6276</v>
      </c>
      <c r="U16" s="1">
        <f t="shared" si="1"/>
        <v>1.623797632</v>
      </c>
      <c r="V16" s="1">
        <v>0.874708999999983</v>
      </c>
      <c r="W16" s="1">
        <v>0.994848999999964</v>
      </c>
    </row>
    <row r="17">
      <c r="A17" s="8" t="s">
        <v>46</v>
      </c>
      <c r="B17" s="4">
        <v>0.998658999999993</v>
      </c>
      <c r="C17" s="4">
        <v>95.543</v>
      </c>
      <c r="D17" s="4">
        <v>6.4283</v>
      </c>
      <c r="E17" s="4">
        <v>4.1141</v>
      </c>
      <c r="F17" s="12" t="s">
        <v>28</v>
      </c>
      <c r="G17" s="1">
        <v>0.984122999999955</v>
      </c>
      <c r="H17" s="1">
        <v>88.9976</v>
      </c>
      <c r="I17" s="1">
        <v>-0.1171</v>
      </c>
      <c r="J17" s="1">
        <v>1.7401</v>
      </c>
      <c r="K17" s="22" t="s">
        <v>28</v>
      </c>
      <c r="L17" s="1">
        <v>0.986503999999954</v>
      </c>
      <c r="M17" s="1">
        <v>89.1114</v>
      </c>
      <c r="N17" s="1">
        <v>-0.0033</v>
      </c>
      <c r="O17" s="1">
        <v>1.4115</v>
      </c>
      <c r="P17" s="7">
        <v>3328.0</v>
      </c>
      <c r="Q17" s="1">
        <v>0.980764999999955</v>
      </c>
      <c r="R17" s="1">
        <v>89.1022</v>
      </c>
      <c r="S17" s="1">
        <v>-0.0097</v>
      </c>
      <c r="T17" s="1">
        <v>1.556</v>
      </c>
      <c r="U17" s="1">
        <f t="shared" si="1"/>
        <v>1.560094302</v>
      </c>
      <c r="V17" s="1">
        <v>0.878826999999984</v>
      </c>
      <c r="W17" s="1">
        <v>0.99595399999997</v>
      </c>
    </row>
    <row r="18">
      <c r="A18" s="8" t="s">
        <v>47</v>
      </c>
      <c r="B18" s="4">
        <v>0.998067999999987</v>
      </c>
      <c r="C18" s="4">
        <v>97.5516</v>
      </c>
      <c r="D18" s="4">
        <v>8.4369</v>
      </c>
      <c r="E18" s="4">
        <v>4.2241</v>
      </c>
      <c r="F18" s="12" t="s">
        <v>31</v>
      </c>
      <c r="G18" s="1">
        <v>0.967747999999965</v>
      </c>
      <c r="H18" s="1">
        <v>88.9569</v>
      </c>
      <c r="I18" s="1">
        <v>-0.1578</v>
      </c>
      <c r="J18" s="1">
        <v>2.1258</v>
      </c>
      <c r="K18" s="22" t="s">
        <v>31</v>
      </c>
      <c r="L18" s="1">
        <v>0.974660999999963</v>
      </c>
      <c r="M18" s="1">
        <v>89.1112</v>
      </c>
      <c r="N18" s="1">
        <v>-0.0035</v>
      </c>
      <c r="O18" s="1">
        <v>1.6158</v>
      </c>
      <c r="P18" s="7">
        <v>3584.0</v>
      </c>
      <c r="Q18" s="1">
        <v>0.983657999999954</v>
      </c>
      <c r="R18" s="1">
        <v>89.119</v>
      </c>
      <c r="S18" s="1">
        <v>0.0071</v>
      </c>
      <c r="T18" s="1">
        <v>1.5067</v>
      </c>
      <c r="U18" s="1">
        <f t="shared" si="1"/>
        <v>1.503344486</v>
      </c>
      <c r="V18" s="1">
        <v>0.879906999999982</v>
      </c>
      <c r="W18" s="1">
        <v>0.996637999999975</v>
      </c>
    </row>
    <row r="19">
      <c r="A19" s="8" t="s">
        <v>48</v>
      </c>
      <c r="B19" s="4">
        <v>0.996459999999973</v>
      </c>
      <c r="C19" s="4">
        <v>101.2443</v>
      </c>
      <c r="D19" s="4">
        <v>12.1296</v>
      </c>
      <c r="E19" s="4">
        <v>4.4225</v>
      </c>
      <c r="F19" s="12" t="s">
        <v>34</v>
      </c>
      <c r="G19" s="1">
        <v>0.927094999999983</v>
      </c>
      <c r="H19" s="1">
        <v>88.8741</v>
      </c>
      <c r="I19" s="1">
        <v>-0.2406</v>
      </c>
      <c r="J19" s="1">
        <v>2.8938</v>
      </c>
      <c r="K19" s="22" t="s">
        <v>34</v>
      </c>
      <c r="L19" s="1">
        <v>0.94695699999997</v>
      </c>
      <c r="M19" s="1">
        <v>89.1114</v>
      </c>
      <c r="N19" s="1">
        <v>-0.0034</v>
      </c>
      <c r="O19" s="1">
        <v>1.9351</v>
      </c>
      <c r="P19" s="7">
        <v>3840.0</v>
      </c>
      <c r="Q19" s="1">
        <v>0.986529999999952</v>
      </c>
      <c r="R19" s="1">
        <v>89.1257</v>
      </c>
      <c r="S19" s="1">
        <v>0.0138</v>
      </c>
      <c r="T19" s="1">
        <v>1.4493</v>
      </c>
      <c r="U19" s="1">
        <f t="shared" si="1"/>
        <v>1.452368755</v>
      </c>
      <c r="V19" s="1">
        <v>0.882508999999982</v>
      </c>
      <c r="W19" s="1">
        <v>0.997261999999979</v>
      </c>
    </row>
    <row r="20">
      <c r="A20" s="8" t="s">
        <v>111</v>
      </c>
      <c r="B20" s="4">
        <v>0.988848999999955</v>
      </c>
      <c r="C20" s="4">
        <v>110.1436</v>
      </c>
      <c r="D20" s="4">
        <v>21.0289</v>
      </c>
      <c r="E20" s="4">
        <v>4.9121</v>
      </c>
      <c r="F20" s="12" t="s">
        <v>37</v>
      </c>
      <c r="G20" s="1">
        <v>0.812119</v>
      </c>
      <c r="H20" s="1">
        <v>89.3136</v>
      </c>
      <c r="I20" s="1">
        <v>0.1853</v>
      </c>
      <c r="J20" s="1">
        <v>2.4824</v>
      </c>
      <c r="K20" s="22" t="s">
        <v>37</v>
      </c>
      <c r="L20" s="1">
        <v>0.874608999999983</v>
      </c>
      <c r="M20" s="1">
        <v>89.111</v>
      </c>
      <c r="N20" s="1">
        <v>-0.0038</v>
      </c>
      <c r="O20" s="1">
        <v>2.5368</v>
      </c>
      <c r="P20" s="7">
        <v>4096.0</v>
      </c>
      <c r="Q20" s="1">
        <v>0.98867999999995</v>
      </c>
      <c r="R20" s="1">
        <v>89.1277</v>
      </c>
      <c r="S20" s="1">
        <v>0.0158</v>
      </c>
      <c r="T20" s="1">
        <v>1.4046</v>
      </c>
      <c r="U20" s="1">
        <f t="shared" si="1"/>
        <v>1.40625</v>
      </c>
      <c r="V20" s="1">
        <v>0.883254999999983</v>
      </c>
      <c r="W20" s="1">
        <v>0.997571999999982</v>
      </c>
    </row>
    <row r="21">
      <c r="A21" s="10" t="s">
        <v>40</v>
      </c>
      <c r="B21" s="4"/>
      <c r="C21" s="11"/>
      <c r="D21" s="11"/>
      <c r="E21" s="11"/>
      <c r="F21" s="12" t="s">
        <v>109</v>
      </c>
      <c r="G21" s="1">
        <v>0.629701999999992</v>
      </c>
      <c r="H21" s="1">
        <v>88.0444</v>
      </c>
      <c r="I21" s="1">
        <v>-1.0839</v>
      </c>
      <c r="J21" s="1">
        <v>10.7861</v>
      </c>
      <c r="K21" s="22" t="s">
        <v>109</v>
      </c>
      <c r="L21" s="1">
        <v>0.630274999999997</v>
      </c>
      <c r="M21" s="1">
        <v>89.11</v>
      </c>
      <c r="N21" s="1">
        <v>-0.0048</v>
      </c>
      <c r="O21" s="1">
        <v>4.3282</v>
      </c>
      <c r="P21" s="7">
        <v>4352.0</v>
      </c>
      <c r="Q21" s="1">
        <v>0.990270999999954</v>
      </c>
      <c r="R21" s="1">
        <v>89.1033</v>
      </c>
      <c r="S21" s="1">
        <v>-0.0228</v>
      </c>
      <c r="T21" s="1">
        <v>1.3612</v>
      </c>
      <c r="U21" s="1">
        <f t="shared" si="1"/>
        <v>1.364262891</v>
      </c>
      <c r="V21" s="1">
        <v>0.885504999999983</v>
      </c>
      <c r="W21" s="1">
        <v>0.998038999999986</v>
      </c>
    </row>
    <row r="22">
      <c r="A22" s="12" t="s">
        <v>18</v>
      </c>
      <c r="B22" s="4">
        <v>0.991234999999958</v>
      </c>
      <c r="C22" s="4">
        <v>78.919</v>
      </c>
      <c r="D22" s="4">
        <v>-10.1958</v>
      </c>
      <c r="E22" s="4">
        <v>4.4381</v>
      </c>
      <c r="F22" s="15" t="s">
        <v>50</v>
      </c>
      <c r="K22" s="21" t="s">
        <v>112</v>
      </c>
      <c r="M22" s="1" t="s">
        <v>8</v>
      </c>
      <c r="N22" s="1" t="s">
        <v>14</v>
      </c>
      <c r="O22" s="1" t="s">
        <v>15</v>
      </c>
      <c r="P22" s="7">
        <v>4608.0</v>
      </c>
      <c r="Q22" s="1">
        <v>0.991811999999954</v>
      </c>
      <c r="R22" s="1">
        <v>89.1239</v>
      </c>
      <c r="S22" s="1">
        <v>-0.0022</v>
      </c>
      <c r="T22" s="1">
        <v>1.3229</v>
      </c>
      <c r="U22" s="1">
        <f t="shared" si="1"/>
        <v>1.325825215</v>
      </c>
      <c r="V22" s="1">
        <v>0.887009999999986</v>
      </c>
      <c r="W22" s="1">
        <v>0.998269999999989</v>
      </c>
    </row>
    <row r="23">
      <c r="A23" s="12" t="s">
        <v>21</v>
      </c>
      <c r="B23" s="4">
        <v>0.985158999999957</v>
      </c>
      <c r="C23" s="4">
        <v>77.378</v>
      </c>
      <c r="D23" s="4">
        <v>-11.7368</v>
      </c>
      <c r="E23" s="4">
        <v>4.5347</v>
      </c>
      <c r="F23" s="16" t="s">
        <v>51</v>
      </c>
      <c r="G23" s="4">
        <v>0.821377999999984</v>
      </c>
      <c r="H23" s="4">
        <v>88.6251</v>
      </c>
      <c r="I23" s="4">
        <v>-0.4897</v>
      </c>
      <c r="J23" s="4">
        <v>4.9754</v>
      </c>
      <c r="K23" s="22" t="s">
        <v>19</v>
      </c>
      <c r="L23" s="1">
        <v>0.994634999999965</v>
      </c>
      <c r="M23" s="1">
        <v>85.0334</v>
      </c>
      <c r="N23" s="1">
        <v>-4.0927</v>
      </c>
      <c r="O23" s="1">
        <v>1.3446</v>
      </c>
      <c r="P23" s="7">
        <v>4864.0</v>
      </c>
      <c r="Q23" s="1">
        <v>0.992877999999957</v>
      </c>
      <c r="R23" s="1">
        <v>89.1281</v>
      </c>
      <c r="S23" s="1">
        <v>0.0021</v>
      </c>
      <c r="T23" s="1">
        <v>1.2863</v>
      </c>
      <c r="U23" s="1">
        <f t="shared" si="1"/>
        <v>1.290463503</v>
      </c>
      <c r="V23" s="1">
        <v>0.888386999999983</v>
      </c>
      <c r="W23" s="1">
        <v>0.998436999999991</v>
      </c>
    </row>
    <row r="24">
      <c r="A24" s="12" t="s">
        <v>24</v>
      </c>
      <c r="B24" s="4">
        <v>0.974532999999963</v>
      </c>
      <c r="C24" s="4">
        <v>75.3144</v>
      </c>
      <c r="D24" s="4">
        <v>-13.8003</v>
      </c>
      <c r="E24" s="4">
        <v>4.6613</v>
      </c>
      <c r="F24" s="16" t="s">
        <v>52</v>
      </c>
      <c r="G24" s="1">
        <v>0.826450999999986</v>
      </c>
      <c r="H24" s="1">
        <v>88.6306</v>
      </c>
      <c r="I24" s="1">
        <v>-0.4842</v>
      </c>
      <c r="J24" s="1">
        <v>4.8992</v>
      </c>
      <c r="K24" s="22" t="s">
        <v>22</v>
      </c>
      <c r="L24" s="1">
        <v>0.990660999999958</v>
      </c>
      <c r="M24" s="1">
        <v>84.3123</v>
      </c>
      <c r="N24" s="1">
        <v>-4.8138</v>
      </c>
      <c r="O24" s="1">
        <v>1.4601</v>
      </c>
      <c r="P24" s="7">
        <v>5120.0</v>
      </c>
      <c r="Q24" s="1">
        <v>0.993674999999959</v>
      </c>
      <c r="R24" s="1">
        <v>89.1532</v>
      </c>
      <c r="S24" s="1">
        <v>0.0272</v>
      </c>
      <c r="T24" s="1">
        <v>1.2593</v>
      </c>
      <c r="U24" s="1">
        <f t="shared" si="1"/>
        <v>1.257788237</v>
      </c>
      <c r="V24" s="1">
        <v>0.889653999999985</v>
      </c>
      <c r="W24" s="1">
        <v>0.998467999999992</v>
      </c>
    </row>
    <row r="25">
      <c r="A25" s="12" t="s">
        <v>27</v>
      </c>
      <c r="B25" s="4">
        <v>0.955620999999969</v>
      </c>
      <c r="C25" s="4">
        <v>72.4023</v>
      </c>
      <c r="D25" s="4">
        <v>-16.7124</v>
      </c>
      <c r="E25" s="4">
        <v>4.8349</v>
      </c>
      <c r="F25" s="16" t="s">
        <v>53</v>
      </c>
      <c r="G25" s="1">
        <v>0.833825999999989</v>
      </c>
      <c r="H25" s="1">
        <v>88.6397</v>
      </c>
      <c r="I25" s="1">
        <v>-0.4751</v>
      </c>
      <c r="J25" s="1">
        <v>4.7842</v>
      </c>
      <c r="K25" s="22" t="s">
        <v>25</v>
      </c>
      <c r="L25" s="1">
        <v>0.983129999999956</v>
      </c>
      <c r="M25" s="1">
        <v>83.2954</v>
      </c>
      <c r="N25" s="1">
        <v>-5.8306</v>
      </c>
      <c r="O25" s="1">
        <v>1.6088</v>
      </c>
      <c r="P25" s="7">
        <v>5376.0</v>
      </c>
      <c r="Q25" s="1">
        <v>0.994691999999962</v>
      </c>
      <c r="R25" s="1">
        <v>89.1325</v>
      </c>
      <c r="S25" s="1">
        <v>0.0065</v>
      </c>
      <c r="T25" s="1">
        <v>1.2287</v>
      </c>
      <c r="U25" s="1">
        <f t="shared" si="1"/>
        <v>1.227475633</v>
      </c>
      <c r="V25" s="1">
        <v>0.890166999999985</v>
      </c>
      <c r="W25" s="1">
        <v>0.998677999999994</v>
      </c>
    </row>
    <row r="26">
      <c r="A26" s="12" t="s">
        <v>30</v>
      </c>
      <c r="B26" s="4">
        <v>0.920542999999985</v>
      </c>
      <c r="C26" s="4">
        <v>67.9718</v>
      </c>
      <c r="D26" s="4">
        <v>-21.143</v>
      </c>
      <c r="E26" s="4">
        <v>5.0895</v>
      </c>
      <c r="F26" s="16" t="s">
        <v>54</v>
      </c>
      <c r="G26" s="1">
        <v>0.844354999999984</v>
      </c>
      <c r="H26" s="1">
        <v>88.6548</v>
      </c>
      <c r="I26" s="1">
        <v>-0.46</v>
      </c>
      <c r="J26" s="1">
        <v>4.6115</v>
      </c>
      <c r="K26" s="22" t="s">
        <v>28</v>
      </c>
      <c r="L26" s="1">
        <v>0.968017999999968</v>
      </c>
      <c r="M26" s="1">
        <v>81.7579</v>
      </c>
      <c r="N26" s="1">
        <v>-7.3682</v>
      </c>
      <c r="O26" s="1">
        <v>1.8098</v>
      </c>
      <c r="P26" s="7">
        <v>5632.0</v>
      </c>
      <c r="Q26" s="1">
        <v>0.995360999999966</v>
      </c>
      <c r="R26" s="1">
        <v>89.1109</v>
      </c>
      <c r="S26" s="1">
        <v>-0.0152</v>
      </c>
      <c r="T26" s="1">
        <v>1.1975</v>
      </c>
      <c r="U26" s="1">
        <f t="shared" si="1"/>
        <v>1.19925403</v>
      </c>
      <c r="V26" s="1">
        <v>0.890789999999986</v>
      </c>
      <c r="W26" s="1">
        <v>0.998763999999995</v>
      </c>
    </row>
    <row r="27">
      <c r="A27" s="12" t="s">
        <v>33</v>
      </c>
      <c r="B27" s="4">
        <v>0.851920999999985</v>
      </c>
      <c r="C27" s="4">
        <v>60.37</v>
      </c>
      <c r="D27" s="4">
        <v>-28.7447</v>
      </c>
      <c r="E27" s="4">
        <v>5.5061</v>
      </c>
      <c r="F27" s="16" t="s">
        <v>55</v>
      </c>
      <c r="G27" s="1">
        <v>0.859223999999986</v>
      </c>
      <c r="H27" s="1">
        <v>88.6797</v>
      </c>
      <c r="I27" s="1">
        <v>-0.435</v>
      </c>
      <c r="J27" s="1">
        <v>4.3539</v>
      </c>
      <c r="K27" s="22" t="s">
        <v>31</v>
      </c>
      <c r="L27" s="1">
        <v>0.937819999999979</v>
      </c>
      <c r="M27" s="1">
        <v>79.175</v>
      </c>
      <c r="N27" s="1">
        <v>-9.951</v>
      </c>
      <c r="O27" s="1">
        <v>2.1014</v>
      </c>
      <c r="P27" s="7">
        <v>5888.0</v>
      </c>
      <c r="Q27" s="1">
        <v>0.995892999999969</v>
      </c>
      <c r="R27" s="1">
        <v>89.1146</v>
      </c>
      <c r="S27" s="1">
        <v>-0.0114</v>
      </c>
      <c r="T27" s="1">
        <v>1.1738</v>
      </c>
      <c r="U27" s="1">
        <f t="shared" si="1"/>
        <v>1.172893579</v>
      </c>
      <c r="V27" s="1">
        <v>0.892273999999986</v>
      </c>
      <c r="W27" s="1">
        <v>0.998838999999996</v>
      </c>
    </row>
    <row r="28">
      <c r="A28" s="12" t="s">
        <v>36</v>
      </c>
      <c r="B28" s="4">
        <v>0.701890999999993</v>
      </c>
      <c r="C28" s="4">
        <v>43.8361</v>
      </c>
      <c r="D28" s="4">
        <v>-45.2922</v>
      </c>
      <c r="E28" s="4">
        <v>4.851</v>
      </c>
      <c r="F28" s="16" t="s">
        <v>56</v>
      </c>
      <c r="G28" s="4">
        <v>0.879460999999986</v>
      </c>
      <c r="H28" s="4">
        <v>88.721</v>
      </c>
      <c r="I28" s="4">
        <v>-0.3937</v>
      </c>
      <c r="J28" s="4">
        <v>3.9731</v>
      </c>
      <c r="K28" s="22" t="s">
        <v>34</v>
      </c>
      <c r="L28" s="1">
        <v>0.872960999999981</v>
      </c>
      <c r="M28" s="1">
        <v>74.0058</v>
      </c>
      <c r="N28" s="1">
        <v>-15.1203</v>
      </c>
      <c r="O28" s="1">
        <v>2.5752</v>
      </c>
      <c r="P28" s="7">
        <v>6144.0</v>
      </c>
      <c r="Q28" s="1">
        <v>0.996471999999973</v>
      </c>
      <c r="R28" s="1">
        <v>89.1565</v>
      </c>
      <c r="S28" s="1">
        <v>0.0304</v>
      </c>
      <c r="T28" s="1">
        <v>1.145</v>
      </c>
      <c r="U28" s="1">
        <f t="shared" si="1"/>
        <v>1.148198317</v>
      </c>
      <c r="V28" s="1">
        <v>0.893202999999983</v>
      </c>
      <c r="W28" s="1">
        <v>0.998873999999996</v>
      </c>
    </row>
    <row r="29">
      <c r="A29" s="12" t="s">
        <v>108</v>
      </c>
      <c r="B29" s="4">
        <v>0.624236999999993</v>
      </c>
      <c r="C29" s="4">
        <v>1.7573</v>
      </c>
      <c r="D29" s="4">
        <v>-87.3709</v>
      </c>
      <c r="E29" s="4">
        <v>6.1837</v>
      </c>
      <c r="F29" s="16" t="s">
        <v>57</v>
      </c>
      <c r="G29" s="1">
        <v>0.906738999999986</v>
      </c>
      <c r="H29" s="1">
        <v>88.7892</v>
      </c>
      <c r="I29" s="1">
        <v>-0.3255</v>
      </c>
      <c r="J29" s="1">
        <v>3.4174</v>
      </c>
      <c r="K29" s="22" t="s">
        <v>37</v>
      </c>
      <c r="L29" s="1">
        <v>0.718718999999991</v>
      </c>
      <c r="M29" s="1">
        <v>59.4806</v>
      </c>
      <c r="N29" s="1">
        <v>-29.6455</v>
      </c>
      <c r="O29" s="1">
        <v>3.4737</v>
      </c>
      <c r="P29" s="7">
        <v>6400.0</v>
      </c>
      <c r="Q29" s="1">
        <v>0.996767999999975</v>
      </c>
      <c r="R29" s="1">
        <v>89.1064</v>
      </c>
      <c r="S29" s="1">
        <v>-0.0196</v>
      </c>
      <c r="T29" s="1">
        <v>1.1248</v>
      </c>
      <c r="U29" s="1">
        <f t="shared" si="1"/>
        <v>1.125</v>
      </c>
      <c r="V29" s="1">
        <v>0.893041999999984</v>
      </c>
      <c r="W29" s="1">
        <v>0.998942999999997</v>
      </c>
    </row>
    <row r="30">
      <c r="A30" s="12" t="s">
        <v>39</v>
      </c>
      <c r="B30" s="4">
        <v>0.954447999999966</v>
      </c>
      <c r="C30" s="4">
        <v>99.4986</v>
      </c>
      <c r="D30" s="4">
        <v>10.3839</v>
      </c>
      <c r="E30" s="4">
        <v>4.4571</v>
      </c>
      <c r="F30" s="16" t="s">
        <v>58</v>
      </c>
      <c r="G30" s="1">
        <v>0.941302999999977</v>
      </c>
      <c r="H30" s="1">
        <v>88.9011</v>
      </c>
      <c r="I30" s="1">
        <v>-0.2136</v>
      </c>
      <c r="J30" s="1">
        <v>2.631</v>
      </c>
      <c r="K30" s="22" t="s">
        <v>109</v>
      </c>
      <c r="L30" s="1">
        <v>0.629543999999993</v>
      </c>
      <c r="M30" s="1">
        <v>3.1024</v>
      </c>
      <c r="N30" s="1">
        <v>-86.0237</v>
      </c>
      <c r="O30" s="1">
        <v>4.1452</v>
      </c>
      <c r="P30" s="7">
        <v>6656.0</v>
      </c>
      <c r="Q30" s="1">
        <v>0.997192999999978</v>
      </c>
      <c r="R30" s="1">
        <v>89.1001</v>
      </c>
      <c r="S30" s="1">
        <v>-0.0259</v>
      </c>
      <c r="T30" s="1">
        <v>1.102</v>
      </c>
      <c r="U30" s="1">
        <f t="shared" si="1"/>
        <v>1.10315326</v>
      </c>
      <c r="V30" s="1">
        <v>0.894234999999985</v>
      </c>
      <c r="W30" s="1">
        <v>0.998948999999997</v>
      </c>
    </row>
    <row r="31">
      <c r="A31" s="12" t="s">
        <v>42</v>
      </c>
      <c r="B31" s="4">
        <v>0.941450999999973</v>
      </c>
      <c r="C31" s="4">
        <v>101.064</v>
      </c>
      <c r="D31" s="4">
        <v>11.9492</v>
      </c>
      <c r="E31" s="4">
        <v>4.5557</v>
      </c>
      <c r="F31" s="16" t="s">
        <v>59</v>
      </c>
      <c r="G31" s="1">
        <v>0.977127999999958</v>
      </c>
      <c r="H31" s="1">
        <v>89.0815</v>
      </c>
      <c r="I31" s="1">
        <v>-0.0332</v>
      </c>
      <c r="J31" s="1">
        <v>1.6379</v>
      </c>
      <c r="K31" s="21" t="s">
        <v>113</v>
      </c>
      <c r="M31" s="1" t="s">
        <v>8</v>
      </c>
      <c r="N31" s="1" t="s">
        <v>14</v>
      </c>
      <c r="O31" s="1" t="s">
        <v>15</v>
      </c>
      <c r="P31" s="7">
        <v>6912.0</v>
      </c>
      <c r="Q31" s="1">
        <v>0.99749399999998</v>
      </c>
      <c r="R31" s="1">
        <v>89.1062</v>
      </c>
      <c r="S31" s="1">
        <v>-0.0198</v>
      </c>
      <c r="T31" s="1">
        <v>1.0815</v>
      </c>
      <c r="U31" s="1">
        <f t="shared" si="1"/>
        <v>1.082531755</v>
      </c>
      <c r="V31" s="1">
        <v>0.895259999999983</v>
      </c>
      <c r="W31" s="1">
        <v>0.998979999999998</v>
      </c>
    </row>
    <row r="32">
      <c r="A32" s="12" t="s">
        <v>44</v>
      </c>
      <c r="B32" s="4">
        <v>0.923013999999978</v>
      </c>
      <c r="C32" s="4">
        <v>103.1586</v>
      </c>
      <c r="D32" s="4">
        <v>14.0439</v>
      </c>
      <c r="E32" s="4">
        <v>4.6845</v>
      </c>
      <c r="F32" s="16" t="s">
        <v>60</v>
      </c>
      <c r="G32" s="1">
        <v>0.997116999999978</v>
      </c>
      <c r="H32" s="1">
        <v>89.3556</v>
      </c>
      <c r="I32" s="1">
        <v>0.2409</v>
      </c>
      <c r="J32" s="1">
        <v>1.2605</v>
      </c>
      <c r="K32" s="22" t="s">
        <v>19</v>
      </c>
      <c r="L32" s="1">
        <v>0.98396499999995</v>
      </c>
      <c r="M32" s="1">
        <v>93.214</v>
      </c>
      <c r="N32" s="1">
        <v>4.088</v>
      </c>
      <c r="O32" s="1">
        <v>1.3601</v>
      </c>
      <c r="P32" s="7">
        <v>7168.0</v>
      </c>
      <c r="Q32" s="1">
        <v>0.997773999999984</v>
      </c>
      <c r="R32" s="1">
        <v>89.1609</v>
      </c>
      <c r="S32" s="1">
        <v>0.0349</v>
      </c>
      <c r="T32" s="1">
        <v>1.0595</v>
      </c>
      <c r="U32" s="1">
        <f t="shared" si="1"/>
        <v>1.06302508</v>
      </c>
      <c r="V32" s="1">
        <v>0.895485999999987</v>
      </c>
      <c r="W32" s="1">
        <v>0.999025999999998</v>
      </c>
    </row>
    <row r="33">
      <c r="A33" s="12" t="s">
        <v>45</v>
      </c>
      <c r="B33" s="4">
        <v>0.896519999999978</v>
      </c>
      <c r="C33" s="4">
        <v>106.1135</v>
      </c>
      <c r="D33" s="4">
        <v>16.9987</v>
      </c>
      <c r="E33" s="4">
        <v>4.8608</v>
      </c>
      <c r="F33" s="16" t="s">
        <v>61</v>
      </c>
      <c r="G33" s="1">
        <v>0.99733199999998</v>
      </c>
      <c r="H33" s="1">
        <v>89.7013</v>
      </c>
      <c r="I33" s="1">
        <v>0.5866</v>
      </c>
      <c r="J33" s="1">
        <v>2.4971</v>
      </c>
      <c r="K33" s="22" t="s">
        <v>22</v>
      </c>
      <c r="L33" s="1">
        <v>0.977383999999951</v>
      </c>
      <c r="M33" s="1">
        <v>93.9355</v>
      </c>
      <c r="N33" s="1">
        <v>4.8095</v>
      </c>
      <c r="O33" s="1">
        <v>1.4777</v>
      </c>
      <c r="P33" s="7">
        <v>7424.0</v>
      </c>
      <c r="Q33" s="1">
        <v>0.997834999999984</v>
      </c>
      <c r="R33" s="1">
        <v>89.1614</v>
      </c>
      <c r="S33" s="1">
        <v>0.0354</v>
      </c>
      <c r="T33" s="1">
        <v>1.0438</v>
      </c>
      <c r="U33" s="1">
        <f t="shared" si="1"/>
        <v>1.044536277</v>
      </c>
      <c r="V33" s="1">
        <v>0.896059999999988</v>
      </c>
      <c r="W33" s="1">
        <v>0.999038999999999</v>
      </c>
    </row>
    <row r="34">
      <c r="A34" s="12" t="s">
        <v>46</v>
      </c>
      <c r="B34" s="4">
        <v>0.854570999999978</v>
      </c>
      <c r="C34" s="4">
        <v>110.6055</v>
      </c>
      <c r="D34" s="4">
        <v>21.4908</v>
      </c>
      <c r="E34" s="4">
        <v>5.1188</v>
      </c>
      <c r="F34" s="23" t="s">
        <v>114</v>
      </c>
      <c r="K34" s="22" t="s">
        <v>25</v>
      </c>
      <c r="L34" s="1">
        <v>0.967014999999962</v>
      </c>
      <c r="M34" s="1">
        <v>94.9532</v>
      </c>
      <c r="N34" s="1">
        <v>5.8271</v>
      </c>
      <c r="O34" s="1">
        <v>1.629</v>
      </c>
      <c r="P34" s="7">
        <v>7680.0</v>
      </c>
      <c r="Q34" s="1">
        <v>0.998090999999987</v>
      </c>
      <c r="R34" s="1">
        <v>89.1248</v>
      </c>
      <c r="S34" s="1">
        <v>-0.0012</v>
      </c>
      <c r="T34" s="1">
        <v>1.0252</v>
      </c>
      <c r="U34" s="1">
        <f t="shared" si="1"/>
        <v>1.026979795</v>
      </c>
      <c r="V34" s="1">
        <v>0.895917999999986</v>
      </c>
      <c r="W34" s="1">
        <v>0.999030999999999</v>
      </c>
    </row>
    <row r="35">
      <c r="A35" s="12" t="s">
        <v>47</v>
      </c>
      <c r="B35" s="4">
        <v>0.781961999999986</v>
      </c>
      <c r="C35" s="4">
        <v>118.3044</v>
      </c>
      <c r="D35" s="4">
        <v>29.1896</v>
      </c>
      <c r="E35" s="4">
        <v>5.5393</v>
      </c>
      <c r="F35" s="24" t="s">
        <v>51</v>
      </c>
      <c r="G35" s="4">
        <v>0.874608999999983</v>
      </c>
      <c r="H35" s="4">
        <v>89.1143</v>
      </c>
      <c r="I35" s="4">
        <v>-5.0E-4</v>
      </c>
      <c r="J35" s="4">
        <v>2.5292</v>
      </c>
      <c r="K35" s="22" t="s">
        <v>28</v>
      </c>
      <c r="L35" s="1">
        <v>0.949518999999968</v>
      </c>
      <c r="M35" s="1">
        <v>96.4937</v>
      </c>
      <c r="N35" s="1">
        <v>7.3677</v>
      </c>
      <c r="O35" s="1">
        <v>1.8337</v>
      </c>
      <c r="P35" s="7">
        <v>7936.0</v>
      </c>
      <c r="Q35" s="1">
        <v>0.998096999999987</v>
      </c>
      <c r="R35" s="1">
        <v>89.1017</v>
      </c>
      <c r="S35" s="1">
        <v>-0.0244</v>
      </c>
      <c r="T35" s="1">
        <v>1.0075</v>
      </c>
      <c r="U35" s="1">
        <f t="shared" si="1"/>
        <v>1.010279824</v>
      </c>
      <c r="V35" s="1">
        <v>0.896656999999984</v>
      </c>
      <c r="W35" s="1">
        <v>0.999066999999999</v>
      </c>
    </row>
    <row r="36">
      <c r="A36" s="12" t="s">
        <v>48</v>
      </c>
      <c r="B36" s="4">
        <v>0.633877999999988</v>
      </c>
      <c r="C36" s="4">
        <v>135.8293</v>
      </c>
      <c r="D36" s="4">
        <v>46.7145</v>
      </c>
      <c r="E36" s="4">
        <v>8.9819</v>
      </c>
      <c r="F36" s="24" t="s">
        <v>52</v>
      </c>
      <c r="G36" s="4">
        <v>0.874607999999983</v>
      </c>
      <c r="H36" s="4">
        <v>89.1143</v>
      </c>
      <c r="I36" s="4">
        <v>-5.0E-4</v>
      </c>
      <c r="J36" s="4">
        <v>2.5292</v>
      </c>
      <c r="K36" s="22" t="s">
        <v>31</v>
      </c>
      <c r="L36" s="1">
        <v>0.917655999999981</v>
      </c>
      <c r="M36" s="1">
        <v>99.0866</v>
      </c>
      <c r="N36" s="1">
        <v>9.9605</v>
      </c>
      <c r="O36" s="1">
        <v>2.1311</v>
      </c>
      <c r="P36" s="7">
        <v>8192.0</v>
      </c>
      <c r="Q36" s="1">
        <v>0.998277999999989</v>
      </c>
      <c r="R36" s="1">
        <v>89.1167</v>
      </c>
      <c r="S36" s="1">
        <v>-0.0094</v>
      </c>
      <c r="T36" s="1">
        <v>0.9937</v>
      </c>
      <c r="U36" s="1">
        <f t="shared" si="1"/>
        <v>0.994368911</v>
      </c>
      <c r="V36" s="1">
        <v>0.897594999999985</v>
      </c>
      <c r="W36" s="1">
        <v>0.999056999999999</v>
      </c>
    </row>
    <row r="37">
      <c r="A37" s="12" t="s">
        <v>111</v>
      </c>
      <c r="B37" s="1">
        <v>0.00950900000000033</v>
      </c>
      <c r="C37" s="1">
        <v>179.6897</v>
      </c>
      <c r="D37" s="1">
        <v>90.5749</v>
      </c>
      <c r="E37" s="1">
        <v>8.3788</v>
      </c>
      <c r="F37" s="24" t="s">
        <v>53</v>
      </c>
      <c r="G37" s="4">
        <v>0.874604999999983</v>
      </c>
      <c r="H37" s="4">
        <v>89.1143</v>
      </c>
      <c r="I37" s="4">
        <v>-5.0E-4</v>
      </c>
      <c r="J37" s="4">
        <v>2.5292</v>
      </c>
      <c r="K37" s="22" t="s">
        <v>34</v>
      </c>
      <c r="L37" s="1">
        <v>0.827396999999982</v>
      </c>
      <c r="M37" s="1">
        <v>104.2817</v>
      </c>
      <c r="N37" s="1">
        <v>15.1557</v>
      </c>
      <c r="O37" s="1">
        <v>2.6151</v>
      </c>
      <c r="P37" s="7">
        <v>8448.0</v>
      </c>
      <c r="Q37" s="1">
        <v>0.99837999999999</v>
      </c>
      <c r="R37" s="1">
        <v>89.1226</v>
      </c>
      <c r="S37" s="1">
        <v>-0.0034</v>
      </c>
      <c r="T37" s="1">
        <v>0.9758</v>
      </c>
      <c r="U37" s="1">
        <f t="shared" si="1"/>
        <v>0.9791868148</v>
      </c>
      <c r="V37" s="1">
        <v>0.897975999999983</v>
      </c>
      <c r="W37" s="1">
        <v>0.999060999999999</v>
      </c>
    </row>
    <row r="38">
      <c r="A38" s="15" t="s">
        <v>50</v>
      </c>
      <c r="F38" s="24" t="s">
        <v>54</v>
      </c>
      <c r="G38" s="4">
        <v>0.874611999999984</v>
      </c>
      <c r="H38" s="4">
        <v>89.1143</v>
      </c>
      <c r="I38" s="4">
        <v>-5.0E-4</v>
      </c>
      <c r="J38" s="4">
        <v>2.5291</v>
      </c>
      <c r="K38" s="22" t="s">
        <v>37</v>
      </c>
      <c r="L38" s="1">
        <v>0.671423999999996</v>
      </c>
      <c r="M38" s="1">
        <v>118.9185</v>
      </c>
      <c r="N38" s="1">
        <v>29.7925</v>
      </c>
      <c r="O38" s="1">
        <v>3.5364</v>
      </c>
      <c r="P38" s="7">
        <v>8704.0</v>
      </c>
      <c r="Q38" s="1">
        <v>0.998512999999992</v>
      </c>
      <c r="R38" s="1">
        <v>89.1406</v>
      </c>
      <c r="S38" s="1">
        <v>0.0145</v>
      </c>
      <c r="T38" s="1">
        <v>0.9635</v>
      </c>
      <c r="U38" s="1">
        <f t="shared" si="1"/>
        <v>0.9646795414</v>
      </c>
      <c r="V38" s="1">
        <v>0.897871999999981</v>
      </c>
      <c r="W38" s="1">
        <v>0.999066999999999</v>
      </c>
    </row>
    <row r="39">
      <c r="A39" s="16" t="s">
        <v>62</v>
      </c>
      <c r="B39" s="4">
        <v>0.71767999999999</v>
      </c>
      <c r="C39" s="4">
        <v>44.1238</v>
      </c>
      <c r="D39" s="4">
        <v>-44.991</v>
      </c>
      <c r="E39" s="4">
        <v>6.2922</v>
      </c>
      <c r="F39" s="24" t="s">
        <v>55</v>
      </c>
      <c r="G39" s="1">
        <v>0.874660999999983</v>
      </c>
      <c r="H39" s="4">
        <v>89.1143</v>
      </c>
      <c r="I39" s="4">
        <v>-5.0E-4</v>
      </c>
      <c r="J39" s="4">
        <v>2.5287</v>
      </c>
      <c r="K39" s="22" t="s">
        <v>109</v>
      </c>
      <c r="L39" s="1">
        <v>0.596595999999997</v>
      </c>
      <c r="M39" s="1">
        <v>176.675</v>
      </c>
      <c r="N39" s="1">
        <v>87.549</v>
      </c>
      <c r="O39" s="1">
        <v>4.1396</v>
      </c>
      <c r="P39" s="7">
        <v>8960.0</v>
      </c>
      <c r="Q39" s="1">
        <v>0.998584999999993</v>
      </c>
      <c r="R39" s="1">
        <v>89.1543</v>
      </c>
      <c r="S39" s="1">
        <v>0.0283</v>
      </c>
      <c r="T39" s="1">
        <v>0.9497</v>
      </c>
      <c r="U39" s="1">
        <f t="shared" si="1"/>
        <v>0.9507985366</v>
      </c>
      <c r="V39" s="1">
        <v>0.898936999999986</v>
      </c>
      <c r="W39" s="1">
        <v>0.999055999999999</v>
      </c>
    </row>
    <row r="40">
      <c r="A40" s="16" t="s">
        <v>63</v>
      </c>
      <c r="B40" s="1">
        <v>0.72603399999999</v>
      </c>
      <c r="C40" s="1">
        <v>44.2592</v>
      </c>
      <c r="D40" s="1">
        <v>-44.8556</v>
      </c>
      <c r="E40" s="1">
        <v>6.2747</v>
      </c>
      <c r="F40" s="24" t="s">
        <v>56</v>
      </c>
      <c r="G40" s="4">
        <v>0.875075999999984</v>
      </c>
      <c r="H40" s="4">
        <v>89.1143</v>
      </c>
      <c r="I40" s="4">
        <v>-5.0E-4</v>
      </c>
      <c r="J40" s="4">
        <v>2.526</v>
      </c>
      <c r="K40" s="21" t="s">
        <v>115</v>
      </c>
      <c r="M40" s="1" t="s">
        <v>8</v>
      </c>
      <c r="N40" s="1" t="s">
        <v>14</v>
      </c>
      <c r="O40" s="1" t="s">
        <v>15</v>
      </c>
      <c r="P40" s="7">
        <v>9216.0</v>
      </c>
      <c r="Q40" s="1">
        <v>0.998690999999994</v>
      </c>
      <c r="R40" s="1">
        <v>89.1485</v>
      </c>
      <c r="S40" s="1">
        <v>0.0225</v>
      </c>
      <c r="T40" s="1">
        <v>0.9357</v>
      </c>
      <c r="U40" s="1">
        <f t="shared" si="1"/>
        <v>0.9375</v>
      </c>
      <c r="V40" s="1">
        <v>0.898610999999984</v>
      </c>
      <c r="W40" s="1">
        <v>0.999080999999999</v>
      </c>
    </row>
    <row r="41">
      <c r="A41" s="16" t="s">
        <v>64</v>
      </c>
      <c r="B41" s="1">
        <v>0.73789199999999</v>
      </c>
      <c r="C41" s="1">
        <v>44.484</v>
      </c>
      <c r="D41" s="1">
        <v>-44.6307</v>
      </c>
      <c r="E41" s="1">
        <v>6.2485</v>
      </c>
      <c r="F41" s="24" t="s">
        <v>57</v>
      </c>
      <c r="G41" s="1">
        <v>0.877300999999982</v>
      </c>
      <c r="H41" s="1">
        <v>89.1144</v>
      </c>
      <c r="I41" s="1">
        <v>-5.0E-4</v>
      </c>
      <c r="J41" s="1">
        <v>2.5102</v>
      </c>
      <c r="K41" s="22" t="s">
        <v>19</v>
      </c>
      <c r="L41" s="1">
        <v>0.996749999999976</v>
      </c>
      <c r="M41" s="1">
        <v>89.0479</v>
      </c>
      <c r="N41" s="1">
        <v>-0.0666</v>
      </c>
      <c r="O41" s="1">
        <v>1.2082</v>
      </c>
      <c r="P41" s="7">
        <v>9472.0</v>
      </c>
      <c r="Q41" s="1">
        <v>0.998727999999995</v>
      </c>
      <c r="R41" s="1">
        <v>89.1445</v>
      </c>
      <c r="S41" s="1">
        <v>0.0185</v>
      </c>
      <c r="T41" s="1">
        <v>0.923</v>
      </c>
      <c r="U41" s="1">
        <f t="shared" si="1"/>
        <v>0.9247443036</v>
      </c>
      <c r="V41" s="1">
        <v>0.899038999999985</v>
      </c>
      <c r="W41" s="1">
        <v>0.999086999999999</v>
      </c>
    </row>
    <row r="42">
      <c r="A42" s="16" t="s">
        <v>65</v>
      </c>
      <c r="B42" s="1">
        <v>0.754070999999988</v>
      </c>
      <c r="C42" s="1">
        <v>44.8584</v>
      </c>
      <c r="D42" s="1">
        <v>-44.2563</v>
      </c>
      <c r="E42" s="1">
        <v>6.2096</v>
      </c>
      <c r="F42" s="24" t="s">
        <v>58</v>
      </c>
      <c r="G42" s="1">
        <v>0.887550999999981</v>
      </c>
      <c r="H42" s="1">
        <v>89.1161</v>
      </c>
      <c r="I42" s="1">
        <v>0.0014</v>
      </c>
      <c r="J42" s="1">
        <v>2.4281</v>
      </c>
      <c r="K42" s="22" t="s">
        <v>22</v>
      </c>
      <c r="L42" s="1">
        <v>0.994959999999966</v>
      </c>
      <c r="M42" s="1">
        <v>89.0479</v>
      </c>
      <c r="N42" s="1">
        <v>-0.0782</v>
      </c>
      <c r="O42" s="1">
        <v>1.332</v>
      </c>
      <c r="P42" s="7">
        <v>9728.0</v>
      </c>
      <c r="Q42" s="1">
        <v>0.998768999999995</v>
      </c>
      <c r="R42" s="1">
        <v>89.1234</v>
      </c>
      <c r="S42" s="1">
        <v>-0.0026</v>
      </c>
      <c r="T42" s="1">
        <v>0.9113</v>
      </c>
      <c r="U42" s="1">
        <f t="shared" si="1"/>
        <v>0.9124954939</v>
      </c>
      <c r="V42" s="1">
        <v>0.899652999999984</v>
      </c>
      <c r="W42" s="1">
        <v>0.999083999999999</v>
      </c>
    </row>
    <row r="43">
      <c r="A43" s="16" t="s">
        <v>66</v>
      </c>
      <c r="B43" s="1">
        <v>0.776909999999989</v>
      </c>
      <c r="C43" s="1">
        <v>45.4854</v>
      </c>
      <c r="D43" s="1">
        <v>-43.6293</v>
      </c>
      <c r="E43" s="1">
        <v>6.152</v>
      </c>
      <c r="F43" s="24" t="s">
        <v>59</v>
      </c>
      <c r="G43" s="1">
        <v>0.923935999999984</v>
      </c>
      <c r="H43" s="1">
        <v>89.1337</v>
      </c>
      <c r="I43" s="1">
        <v>0.0189</v>
      </c>
      <c r="J43" s="1">
        <v>2.0936</v>
      </c>
      <c r="K43" s="22" t="s">
        <v>25</v>
      </c>
      <c r="L43" s="1">
        <v>0.991382999999957</v>
      </c>
      <c r="M43" s="1">
        <v>89.0313</v>
      </c>
      <c r="N43" s="1">
        <v>-0.0947</v>
      </c>
      <c r="O43" s="1">
        <v>1.4988</v>
      </c>
      <c r="P43" s="7">
        <v>9984.0</v>
      </c>
      <c r="Q43" s="1">
        <v>0.998797999999996</v>
      </c>
      <c r="R43" s="1">
        <v>89.1505</v>
      </c>
      <c r="S43" s="1">
        <v>0.0245</v>
      </c>
      <c r="T43" s="1">
        <v>0.8988</v>
      </c>
      <c r="U43" s="1">
        <f t="shared" si="1"/>
        <v>0.9007208652</v>
      </c>
      <c r="V43" s="1">
        <v>0.899669999999984</v>
      </c>
      <c r="W43" s="1">
        <v>0.999089999999999</v>
      </c>
    </row>
    <row r="44">
      <c r="A44" s="16" t="s">
        <v>67</v>
      </c>
      <c r="B44" s="4">
        <v>0.807437999999989</v>
      </c>
      <c r="C44" s="4">
        <v>46.5451</v>
      </c>
      <c r="D44" s="4">
        <v>-42.5696</v>
      </c>
      <c r="E44" s="4">
        <v>6.0669</v>
      </c>
      <c r="F44" s="24" t="s">
        <v>60</v>
      </c>
      <c r="G44" s="1">
        <v>0.983157999999951</v>
      </c>
      <c r="H44" s="1">
        <v>89.2413</v>
      </c>
      <c r="I44" s="1">
        <v>0.1266</v>
      </c>
      <c r="J44" s="1">
        <v>1.3547</v>
      </c>
      <c r="K44" s="22" t="s">
        <v>28</v>
      </c>
      <c r="L44" s="1">
        <v>0.984122999999955</v>
      </c>
      <c r="M44" s="1">
        <v>89.0068</v>
      </c>
      <c r="N44" s="1">
        <v>-0.1193</v>
      </c>
      <c r="O44" s="1">
        <v>1.7393</v>
      </c>
      <c r="P44" s="7">
        <v>10240.0</v>
      </c>
      <c r="Q44" s="1">
        <v>0.998868999999996</v>
      </c>
      <c r="R44" s="1">
        <v>89.1123</v>
      </c>
      <c r="S44" s="1">
        <v>-0.0137</v>
      </c>
      <c r="T44" s="1">
        <v>0.8896</v>
      </c>
      <c r="U44" s="1">
        <f t="shared" si="1"/>
        <v>0.8893905919</v>
      </c>
      <c r="V44" s="1">
        <v>0.900539999999983</v>
      </c>
      <c r="W44" s="1">
        <v>0.999089999999999</v>
      </c>
    </row>
    <row r="45">
      <c r="A45" s="16" t="s">
        <v>68</v>
      </c>
      <c r="B45" s="1">
        <v>0.848039999999983</v>
      </c>
      <c r="C45" s="1">
        <v>48.3661</v>
      </c>
      <c r="D45" s="1">
        <v>-40.7487</v>
      </c>
      <c r="E45" s="1">
        <v>5.9408</v>
      </c>
      <c r="F45" s="24" t="s">
        <v>61</v>
      </c>
      <c r="G45" s="1">
        <v>0.998772999999995</v>
      </c>
      <c r="H45" s="1">
        <v>89.535</v>
      </c>
      <c r="I45" s="1">
        <v>0.4203</v>
      </c>
      <c r="J45" s="1">
        <v>1.8201</v>
      </c>
      <c r="K45" s="22" t="s">
        <v>31</v>
      </c>
      <c r="L45" s="1">
        <v>0.967747999999965</v>
      </c>
      <c r="M45" s="1">
        <v>88.9668</v>
      </c>
      <c r="N45" s="1">
        <v>-0.1592</v>
      </c>
      <c r="O45" s="1">
        <v>2.1254</v>
      </c>
    </row>
    <row r="46">
      <c r="A46" s="16" t="s">
        <v>69</v>
      </c>
      <c r="B46" s="1">
        <v>0.898947999999986</v>
      </c>
      <c r="C46" s="1">
        <v>51.5905</v>
      </c>
      <c r="D46" s="1">
        <v>-37.5242</v>
      </c>
      <c r="E46" s="1">
        <v>5.7514</v>
      </c>
      <c r="K46" s="22" t="s">
        <v>34</v>
      </c>
      <c r="L46" s="1">
        <v>0.927238999999983</v>
      </c>
      <c r="M46" s="1">
        <v>88.8846</v>
      </c>
      <c r="N46" s="1">
        <v>-0.2415</v>
      </c>
      <c r="O46" s="1">
        <v>2.8758</v>
      </c>
    </row>
    <row r="47">
      <c r="A47" s="16" t="s">
        <v>70</v>
      </c>
      <c r="B47" s="1">
        <v>0.953009999999971</v>
      </c>
      <c r="C47" s="1">
        <v>57.6157</v>
      </c>
      <c r="D47" s="1">
        <v>-31.499</v>
      </c>
      <c r="E47" s="1">
        <v>5.4583</v>
      </c>
      <c r="K47" s="22" t="s">
        <v>37</v>
      </c>
      <c r="L47" s="1">
        <v>0.812118999999987</v>
      </c>
      <c r="M47" s="1">
        <v>88.631</v>
      </c>
      <c r="N47" s="1">
        <v>-0.4951</v>
      </c>
      <c r="O47" s="1">
        <v>5.1014</v>
      </c>
    </row>
    <row r="48">
      <c r="A48" s="16" t="s">
        <v>71</v>
      </c>
      <c r="B48" s="1">
        <v>0.984137999999953</v>
      </c>
      <c r="C48" s="1">
        <v>69.9828</v>
      </c>
      <c r="D48" s="1">
        <v>-19.1319</v>
      </c>
      <c r="E48" s="1">
        <v>4.977</v>
      </c>
      <c r="K48" s="22" t="s">
        <v>109</v>
      </c>
      <c r="L48" s="1">
        <v>0.629564999999993</v>
      </c>
      <c r="M48" s="1">
        <v>86.3301</v>
      </c>
      <c r="N48" s="1">
        <v>-2.7959</v>
      </c>
      <c r="O48" s="1">
        <v>21.8368</v>
      </c>
    </row>
    <row r="49">
      <c r="A49" s="16" t="s">
        <v>72</v>
      </c>
      <c r="B49" s="1">
        <v>0.929971999999983</v>
      </c>
      <c r="C49" s="1">
        <v>100.0903</v>
      </c>
      <c r="D49" s="1">
        <v>10.9755</v>
      </c>
      <c r="E49" s="1">
        <v>4.0568</v>
      </c>
    </row>
    <row r="50">
      <c r="A50" s="16" t="s">
        <v>73</v>
      </c>
      <c r="B50" s="4">
        <v>0.647485999999991</v>
      </c>
      <c r="C50" s="4">
        <v>134.7447</v>
      </c>
      <c r="D50" s="4">
        <v>45.6299</v>
      </c>
      <c r="E50" s="4">
        <v>6.3312</v>
      </c>
    </row>
    <row r="51">
      <c r="A51" s="16" t="s">
        <v>74</v>
      </c>
      <c r="B51" s="1">
        <v>0.652853999999988</v>
      </c>
      <c r="C51" s="1">
        <v>134.6101</v>
      </c>
      <c r="D51" s="1">
        <v>45.4953</v>
      </c>
      <c r="E51" s="1">
        <v>6.3134</v>
      </c>
      <c r="K51" s="18" t="s">
        <v>459</v>
      </c>
      <c r="L51" s="1" t="s">
        <v>140</v>
      </c>
      <c r="M51" s="1" t="s">
        <v>141</v>
      </c>
    </row>
    <row r="52">
      <c r="A52" s="16" t="s">
        <v>75</v>
      </c>
      <c r="B52" s="1">
        <v>0.660864999999988</v>
      </c>
      <c r="C52" s="1">
        <v>134.3867</v>
      </c>
      <c r="D52" s="1">
        <v>45.2719</v>
      </c>
      <c r="E52" s="1">
        <v>6.2868</v>
      </c>
      <c r="K52" s="1" t="s">
        <v>19</v>
      </c>
      <c r="L52" s="1">
        <v>-0.00567267644204709</v>
      </c>
      <c r="M52" s="2"/>
    </row>
    <row r="53">
      <c r="A53" s="16" t="s">
        <v>76</v>
      </c>
      <c r="B53" s="1">
        <v>0.672717999999987</v>
      </c>
      <c r="C53" s="1">
        <v>134.0147</v>
      </c>
      <c r="D53" s="1">
        <v>44.8999</v>
      </c>
      <c r="E53" s="1">
        <v>6.2473</v>
      </c>
      <c r="K53" s="1" t="s">
        <v>22</v>
      </c>
      <c r="L53" s="1">
        <v>-0.00561559043183114</v>
      </c>
      <c r="M53" s="2"/>
    </row>
    <row r="54">
      <c r="A54" s="16" t="s">
        <v>77</v>
      </c>
      <c r="B54" s="1">
        <v>0.690565999999992</v>
      </c>
      <c r="C54" s="1">
        <v>133.3919</v>
      </c>
      <c r="D54" s="1">
        <v>44.2771</v>
      </c>
      <c r="E54" s="1">
        <v>6.189</v>
      </c>
      <c r="K54" s="1" t="s">
        <v>25</v>
      </c>
      <c r="L54" s="1">
        <v>-0.00554522899771549</v>
      </c>
      <c r="M54" s="2"/>
    </row>
    <row r="55">
      <c r="A55" s="16" t="s">
        <v>78</v>
      </c>
      <c r="B55" s="4">
        <v>0.717265999999989</v>
      </c>
      <c r="C55" s="4">
        <v>132.3397</v>
      </c>
      <c r="D55" s="4">
        <v>43.225</v>
      </c>
      <c r="E55" s="4">
        <v>6.1028</v>
      </c>
      <c r="K55" s="1" t="s">
        <v>28</v>
      </c>
      <c r="L55" s="1">
        <v>-0.00545407724010456</v>
      </c>
      <c r="M55" s="2"/>
    </row>
    <row r="56">
      <c r="A56" s="16" t="s">
        <v>79</v>
      </c>
      <c r="B56" s="1">
        <v>0.75599999999999</v>
      </c>
      <c r="C56" s="1">
        <v>130.5327</v>
      </c>
      <c r="D56" s="1">
        <v>41.418</v>
      </c>
      <c r="E56" s="1">
        <v>5.9753</v>
      </c>
      <c r="K56" s="1" t="s">
        <v>31</v>
      </c>
      <c r="L56" s="1">
        <v>-0.00532904159448626</v>
      </c>
      <c r="M56" s="2"/>
    </row>
    <row r="57">
      <c r="A57" s="16" t="s">
        <v>80</v>
      </c>
      <c r="B57" s="1">
        <v>0.810114999999985</v>
      </c>
      <c r="C57" s="1">
        <v>127.3354</v>
      </c>
      <c r="D57" s="1">
        <v>38.2207</v>
      </c>
      <c r="E57" s="1">
        <v>5.784</v>
      </c>
      <c r="K57" s="1" t="s">
        <v>34</v>
      </c>
      <c r="L57" s="1">
        <v>-0.00514795460661442</v>
      </c>
      <c r="M57" s="1">
        <v>0.136190242320299</v>
      </c>
    </row>
    <row r="58">
      <c r="A58" s="16" t="s">
        <v>81</v>
      </c>
      <c r="B58" s="1">
        <v>0.881281999999983</v>
      </c>
      <c r="C58" s="1">
        <v>121.3647</v>
      </c>
      <c r="D58" s="1">
        <v>32.2499</v>
      </c>
      <c r="E58" s="1">
        <v>5.4882</v>
      </c>
      <c r="K58" s="1" t="s">
        <v>37</v>
      </c>
      <c r="L58" s="1">
        <v>-0.00488152661071221</v>
      </c>
      <c r="M58" s="1">
        <v>0.196912761032581</v>
      </c>
    </row>
    <row r="59">
      <c r="A59" s="16" t="s">
        <v>82</v>
      </c>
      <c r="B59" s="1">
        <v>0.95252799999997</v>
      </c>
      <c r="C59" s="1">
        <v>109.1087</v>
      </c>
      <c r="D59" s="1">
        <v>19.9939</v>
      </c>
      <c r="E59" s="1">
        <v>5.0011</v>
      </c>
      <c r="K59" s="1" t="s">
        <v>109</v>
      </c>
      <c r="L59" s="1">
        <v>-0.00438560648860132</v>
      </c>
      <c r="M59" s="1">
        <v>0.340828645229339</v>
      </c>
    </row>
    <row r="60">
      <c r="A60" s="16" t="s">
        <v>83</v>
      </c>
      <c r="B60" s="1">
        <v>0.949016999999971</v>
      </c>
      <c r="C60" s="1">
        <v>79.1922</v>
      </c>
      <c r="D60" s="1">
        <v>-9.9226</v>
      </c>
      <c r="E60" s="1">
        <v>4.0605</v>
      </c>
    </row>
    <row r="61">
      <c r="A61" s="23" t="s">
        <v>114</v>
      </c>
    </row>
    <row r="62">
      <c r="A62" s="24" t="s">
        <v>62</v>
      </c>
      <c r="B62" s="4">
        <v>0.793440999999986</v>
      </c>
      <c r="C62" s="4">
        <v>63.8776</v>
      </c>
      <c r="D62" s="4">
        <v>-25.2371</v>
      </c>
      <c r="E62" s="4">
        <v>5.4687</v>
      </c>
    </row>
    <row r="63">
      <c r="A63" s="24" t="s">
        <v>63</v>
      </c>
      <c r="B63" s="1">
        <v>0.793440999999986</v>
      </c>
      <c r="C63" s="4">
        <v>63.8776</v>
      </c>
      <c r="D63" s="4">
        <v>-25.2371</v>
      </c>
      <c r="E63" s="4">
        <v>5.4687</v>
      </c>
    </row>
    <row r="64">
      <c r="A64" s="24" t="s">
        <v>64</v>
      </c>
      <c r="B64" s="1">
        <v>0.793440999999987</v>
      </c>
      <c r="C64" s="1">
        <v>63.8777</v>
      </c>
      <c r="D64" s="1">
        <v>-25.237</v>
      </c>
      <c r="E64" s="4">
        <v>5.4687</v>
      </c>
    </row>
    <row r="65">
      <c r="A65" s="24" t="s">
        <v>65</v>
      </c>
      <c r="B65" s="1">
        <v>0.793452999999987</v>
      </c>
      <c r="C65" s="1">
        <v>63.8783</v>
      </c>
      <c r="D65" s="1">
        <v>-25.2364</v>
      </c>
      <c r="E65" s="1">
        <v>5.4686</v>
      </c>
    </row>
    <row r="66">
      <c r="A66" s="24" t="s">
        <v>66</v>
      </c>
      <c r="B66" s="1">
        <v>0.793724999999986</v>
      </c>
      <c r="C66" s="1">
        <v>63.8818</v>
      </c>
      <c r="D66" s="1">
        <v>-25.2329</v>
      </c>
      <c r="E66" s="1">
        <v>5.468</v>
      </c>
    </row>
    <row r="67">
      <c r="A67" s="24" t="s">
        <v>67</v>
      </c>
      <c r="B67" s="4">
        <v>0.794866999999988</v>
      </c>
      <c r="C67" s="4">
        <v>63.9027</v>
      </c>
      <c r="D67" s="4">
        <v>-25.2121</v>
      </c>
      <c r="E67" s="4">
        <v>5.4647</v>
      </c>
    </row>
    <row r="68">
      <c r="A68" s="24" t="s">
        <v>68</v>
      </c>
      <c r="B68" s="1">
        <v>0.800234999999985</v>
      </c>
      <c r="C68" s="1">
        <v>64.0211</v>
      </c>
      <c r="D68" s="1">
        <v>-25.0936</v>
      </c>
      <c r="E68" s="1">
        <v>5.4492</v>
      </c>
    </row>
    <row r="69">
      <c r="A69" s="24" t="s">
        <v>69</v>
      </c>
      <c r="B69" s="1">
        <v>0.818673999999986</v>
      </c>
      <c r="C69" s="1">
        <v>64.6351</v>
      </c>
      <c r="D69" s="1">
        <v>-24.4796</v>
      </c>
      <c r="E69" s="1">
        <v>5.3855</v>
      </c>
    </row>
    <row r="70">
      <c r="A70" s="24" t="s">
        <v>70</v>
      </c>
      <c r="B70" s="1">
        <v>0.869477999999981</v>
      </c>
      <c r="C70" s="1">
        <v>67.3877</v>
      </c>
      <c r="D70" s="1">
        <v>-21.727</v>
      </c>
      <c r="E70" s="1">
        <v>5.1726</v>
      </c>
    </row>
    <row r="71">
      <c r="A71" s="24" t="s">
        <v>71</v>
      </c>
      <c r="B71" s="1">
        <v>0.942563999999974</v>
      </c>
      <c r="C71" s="1">
        <v>77.3658</v>
      </c>
      <c r="D71" s="1">
        <v>-11.7489</v>
      </c>
      <c r="E71" s="1">
        <v>4.6241</v>
      </c>
    </row>
    <row r="72">
      <c r="A72" s="24" t="s">
        <v>72</v>
      </c>
      <c r="B72" s="1">
        <v>0.938715999999974</v>
      </c>
      <c r="C72" s="1">
        <v>107.7555</v>
      </c>
      <c r="D72" s="1">
        <v>18.6407</v>
      </c>
      <c r="E72" s="1">
        <v>3.4387</v>
      </c>
    </row>
    <row r="73">
      <c r="A73" s="24" t="s">
        <v>73</v>
      </c>
      <c r="B73" s="4">
        <v>0.763710999999988</v>
      </c>
      <c r="C73" s="4">
        <v>115.0037</v>
      </c>
      <c r="D73" s="4">
        <v>25.889</v>
      </c>
      <c r="E73" s="4">
        <v>5.4991</v>
      </c>
    </row>
    <row r="74">
      <c r="A74" s="24" t="s">
        <v>74</v>
      </c>
      <c r="B74" s="1">
        <v>0.763709999999988</v>
      </c>
      <c r="C74" s="4">
        <v>115.0037</v>
      </c>
      <c r="D74" s="4">
        <v>25.889</v>
      </c>
      <c r="E74" s="4">
        <v>5.4991</v>
      </c>
    </row>
    <row r="75">
      <c r="A75" s="24" t="s">
        <v>75</v>
      </c>
      <c r="B75" s="1">
        <v>0.763712999999988</v>
      </c>
      <c r="C75" s="1">
        <v>115.0036</v>
      </c>
      <c r="D75" s="1">
        <v>25.8889</v>
      </c>
      <c r="E75" s="1">
        <v>5.499</v>
      </c>
    </row>
    <row r="76">
      <c r="A76" s="24" t="s">
        <v>76</v>
      </c>
      <c r="B76" s="1">
        <v>0.763769999999988</v>
      </c>
      <c r="C76" s="1">
        <v>115.003</v>
      </c>
      <c r="D76" s="1">
        <v>25.8883</v>
      </c>
      <c r="E76" s="1">
        <v>5.4989</v>
      </c>
    </row>
    <row r="77">
      <c r="A77" s="24" t="s">
        <v>77</v>
      </c>
      <c r="B77" s="1">
        <v>0.764010999999987</v>
      </c>
      <c r="C77" s="1">
        <v>114.9995</v>
      </c>
      <c r="D77" s="1">
        <v>25.8847</v>
      </c>
      <c r="E77" s="1">
        <v>5.4982</v>
      </c>
    </row>
    <row r="78">
      <c r="A78" s="24" t="s">
        <v>78</v>
      </c>
      <c r="B78" s="4">
        <v>0.764951999999988</v>
      </c>
      <c r="C78" s="4">
        <v>114.9782</v>
      </c>
      <c r="D78" s="4">
        <v>25.8634</v>
      </c>
      <c r="E78" s="4">
        <v>5.4948</v>
      </c>
    </row>
    <row r="79">
      <c r="A79" s="24" t="s">
        <v>79</v>
      </c>
      <c r="B79" s="1">
        <v>0.769856999999993</v>
      </c>
      <c r="C79" s="1">
        <v>114.8573</v>
      </c>
      <c r="D79" s="1">
        <v>25.7426</v>
      </c>
      <c r="E79" s="1">
        <v>5.4787</v>
      </c>
    </row>
    <row r="80">
      <c r="A80" s="24" t="s">
        <v>80</v>
      </c>
      <c r="B80" s="1">
        <v>0.788875999999987</v>
      </c>
      <c r="C80" s="1">
        <v>114.232</v>
      </c>
      <c r="D80" s="1">
        <v>25.1173</v>
      </c>
      <c r="E80" s="1">
        <v>5.4127</v>
      </c>
    </row>
    <row r="81">
      <c r="A81" s="24" t="s">
        <v>81</v>
      </c>
      <c r="B81" s="1">
        <v>0.84569799999998</v>
      </c>
      <c r="C81" s="1">
        <v>111.4419</v>
      </c>
      <c r="D81" s="1">
        <v>22.3271</v>
      </c>
      <c r="E81" s="1">
        <v>5.193</v>
      </c>
    </row>
    <row r="82">
      <c r="A82" s="24" t="s">
        <v>82</v>
      </c>
      <c r="B82" s="1">
        <v>0.932976999999977</v>
      </c>
      <c r="C82" s="1">
        <v>101.4035</v>
      </c>
      <c r="D82" s="1">
        <v>12.2887</v>
      </c>
      <c r="E82" s="1">
        <v>4.6319</v>
      </c>
    </row>
    <row r="83">
      <c r="A83" s="24" t="s">
        <v>83</v>
      </c>
      <c r="B83" s="1">
        <v>0.959761999999969</v>
      </c>
      <c r="C83" s="1">
        <v>70.9488</v>
      </c>
      <c r="D83" s="1">
        <v>-18.1659</v>
      </c>
      <c r="E83" s="1">
        <v>3.4251</v>
      </c>
    </row>
    <row r="85">
      <c r="A85" s="16" t="s">
        <v>792</v>
      </c>
      <c r="B85" s="1">
        <v>0.984848999999951</v>
      </c>
      <c r="C85" s="1">
        <v>73.8315</v>
      </c>
      <c r="D85" s="1">
        <v>-15.2968</v>
      </c>
      <c r="E85" s="1">
        <v>3.6735</v>
      </c>
    </row>
    <row r="86">
      <c r="A86" s="16" t="s">
        <v>793</v>
      </c>
      <c r="B86" s="1">
        <v>0.968453999999964</v>
      </c>
      <c r="C86" s="1">
        <v>97.9376</v>
      </c>
      <c r="D86" s="1">
        <v>8.8093</v>
      </c>
      <c r="E86" s="1">
        <v>3.5502</v>
      </c>
    </row>
    <row r="87">
      <c r="A87" s="16" t="s">
        <v>794</v>
      </c>
      <c r="B87" s="1">
        <v>0.998722999999994</v>
      </c>
      <c r="C87" s="1">
        <v>89.7839</v>
      </c>
      <c r="D87" s="1">
        <v>0.6556</v>
      </c>
      <c r="E87" s="1">
        <v>2.8149</v>
      </c>
    </row>
    <row r="90">
      <c r="A90" s="24" t="s">
        <v>795</v>
      </c>
      <c r="B90" s="1">
        <v>0.94451799999997</v>
      </c>
      <c r="C90" s="1">
        <v>116.3847</v>
      </c>
      <c r="D90" s="1">
        <v>27.2564</v>
      </c>
      <c r="E90" s="1">
        <v>8.3092</v>
      </c>
    </row>
    <row r="91">
      <c r="A91" s="24" t="s">
        <v>796</v>
      </c>
      <c r="B91" s="1">
        <v>0.952793999999969</v>
      </c>
      <c r="C91" s="1">
        <v>101.5471</v>
      </c>
      <c r="D91" s="1">
        <v>12.4188</v>
      </c>
      <c r="E91" s="1">
        <v>4.2</v>
      </c>
      <c r="F91" s="2"/>
    </row>
    <row r="92">
      <c r="A92" s="24" t="s">
        <v>797</v>
      </c>
      <c r="B92" s="1">
        <v>0.958166999999965</v>
      </c>
      <c r="C92" s="1">
        <v>95.6834</v>
      </c>
      <c r="D92" s="1">
        <v>6.5551</v>
      </c>
      <c r="E92" s="1">
        <v>3.252</v>
      </c>
    </row>
    <row r="93">
      <c r="A93" s="23" t="s">
        <v>798</v>
      </c>
      <c r="B93" s="18">
        <v>0.960506999999964</v>
      </c>
      <c r="C93" s="18">
        <v>90.612</v>
      </c>
      <c r="D93" s="18">
        <v>1.4837</v>
      </c>
      <c r="E93" s="18">
        <v>3.0798</v>
      </c>
    </row>
    <row r="94">
      <c r="A94" s="24" t="s">
        <v>799</v>
      </c>
      <c r="B94" s="1">
        <v>0.960286999999964</v>
      </c>
      <c r="C94" s="1">
        <v>90.3872</v>
      </c>
      <c r="D94" s="1">
        <v>1.2589</v>
      </c>
      <c r="E94" s="1">
        <v>3.0433</v>
      </c>
    </row>
    <row r="95">
      <c r="A95" s="24" t="s">
        <v>800</v>
      </c>
      <c r="B95" s="1">
        <v>0.957838999999969</v>
      </c>
      <c r="C95" s="1">
        <v>88.3937</v>
      </c>
      <c r="D95" s="1">
        <v>-0.7345</v>
      </c>
      <c r="E95" s="1">
        <v>3.1311</v>
      </c>
    </row>
    <row r="98">
      <c r="A98" s="24" t="s">
        <v>801</v>
      </c>
      <c r="B98" s="1">
        <v>0.938379999999975</v>
      </c>
      <c r="C98" s="1">
        <v>4.2397</v>
      </c>
      <c r="D98" s="1">
        <v>-84.8886</v>
      </c>
      <c r="E98" s="1">
        <v>8.0891</v>
      </c>
    </row>
    <row r="99">
      <c r="A99" s="24" t="s">
        <v>802</v>
      </c>
      <c r="B99" s="1">
        <v>0.948868999999973</v>
      </c>
      <c r="C99" s="1">
        <v>47.1949</v>
      </c>
      <c r="D99" s="1">
        <v>-41.9334</v>
      </c>
      <c r="E99" s="1">
        <v>7.6397</v>
      </c>
    </row>
    <row r="100">
      <c r="A100" s="24" t="s">
        <v>803</v>
      </c>
      <c r="B100" s="1">
        <v>0.955850999999972</v>
      </c>
      <c r="C100" s="1">
        <v>66.9688</v>
      </c>
      <c r="D100" s="1">
        <v>-22.1595</v>
      </c>
      <c r="E100" s="1">
        <v>3.4611</v>
      </c>
    </row>
    <row r="101">
      <c r="A101" s="24" t="s">
        <v>804</v>
      </c>
      <c r="B101" s="1">
        <v>0.960296999999967</v>
      </c>
      <c r="C101" s="1">
        <v>73.682</v>
      </c>
      <c r="D101" s="1">
        <v>-15.4463</v>
      </c>
      <c r="E101" s="1">
        <v>2.854</v>
      </c>
    </row>
    <row r="102">
      <c r="A102" s="24" t="s">
        <v>805</v>
      </c>
      <c r="B102" s="1">
        <v>0.962333999999968</v>
      </c>
      <c r="C102" s="1">
        <v>77.6534</v>
      </c>
      <c r="D102" s="1">
        <v>-11.4749</v>
      </c>
      <c r="E102" s="1">
        <v>2.7888</v>
      </c>
    </row>
    <row r="103">
      <c r="A103" s="23" t="s">
        <v>806</v>
      </c>
      <c r="B103" s="18">
        <v>0.963014999999964</v>
      </c>
      <c r="C103" s="18">
        <v>80.1623</v>
      </c>
      <c r="D103" s="18">
        <v>-8.966</v>
      </c>
      <c r="E103" s="18">
        <v>2.8593</v>
      </c>
    </row>
    <row r="104">
      <c r="A104" s="24" t="s">
        <v>807</v>
      </c>
      <c r="B104" s="1">
        <v>0.962472999999963</v>
      </c>
      <c r="C104" s="1">
        <v>81.8033</v>
      </c>
      <c r="D104" s="1">
        <v>-7.325</v>
      </c>
      <c r="E104" s="1">
        <v>2.9536</v>
      </c>
    </row>
    <row r="107">
      <c r="A107" s="24" t="s">
        <v>473</v>
      </c>
      <c r="B107" s="1">
        <v>0.996289999999972</v>
      </c>
      <c r="C107" s="1">
        <v>89.6626</v>
      </c>
      <c r="D107" s="1">
        <v>0.5343</v>
      </c>
      <c r="E107" s="1">
        <v>2.328</v>
      </c>
    </row>
    <row r="108">
      <c r="A108" s="24" t="s">
        <v>808</v>
      </c>
      <c r="B108" s="1">
        <v>0.998054999999987</v>
      </c>
      <c r="C108" s="1">
        <v>89.7106</v>
      </c>
      <c r="D108" s="1">
        <v>0.5824</v>
      </c>
      <c r="E108" s="1">
        <v>2.5146</v>
      </c>
    </row>
    <row r="109">
      <c r="A109" s="24" t="s">
        <v>182</v>
      </c>
      <c r="B109" s="1">
        <v>0.998593999999993</v>
      </c>
      <c r="C109" s="1">
        <v>89.7407</v>
      </c>
      <c r="D109" s="1">
        <v>0.6124</v>
      </c>
      <c r="E109" s="1">
        <v>2.6356</v>
      </c>
    </row>
    <row r="110">
      <c r="A110" s="24" t="s">
        <v>183</v>
      </c>
      <c r="B110" s="1">
        <v>0.998782999999995</v>
      </c>
      <c r="C110" s="1">
        <v>89.7494</v>
      </c>
      <c r="D110" s="1">
        <v>0.6211</v>
      </c>
      <c r="E110" s="1">
        <v>2.6705</v>
      </c>
    </row>
    <row r="111">
      <c r="A111" s="23" t="s">
        <v>184</v>
      </c>
      <c r="B111" s="18">
        <v>0.998810999999996</v>
      </c>
      <c r="C111" s="18">
        <v>89.7641</v>
      </c>
      <c r="D111" s="18">
        <v>0.6359</v>
      </c>
      <c r="E111" s="18">
        <v>2.7316</v>
      </c>
    </row>
    <row r="112">
      <c r="A112" s="24" t="s">
        <v>809</v>
      </c>
      <c r="B112" s="1">
        <v>0.998795999999995</v>
      </c>
      <c r="C112" s="1">
        <v>89.7885</v>
      </c>
      <c r="D112" s="1">
        <v>0.6602</v>
      </c>
      <c r="E112" s="1">
        <v>2.8339</v>
      </c>
    </row>
    <row r="114">
      <c r="A114" s="24" t="s">
        <v>810</v>
      </c>
      <c r="B114" s="1">
        <v>0.970397999999961</v>
      </c>
      <c r="C114" s="1">
        <v>180.0</v>
      </c>
      <c r="D114" s="1">
        <v>90.8734</v>
      </c>
      <c r="E114" s="1">
        <v>3.7303</v>
      </c>
    </row>
    <row r="115">
      <c r="A115" s="23" t="s">
        <v>811</v>
      </c>
      <c r="B115" s="18">
        <v>0.973451999999961</v>
      </c>
      <c r="C115" s="18">
        <v>164.4613</v>
      </c>
      <c r="D115" s="18">
        <v>75.3348</v>
      </c>
      <c r="E115" s="18">
        <v>16.3632</v>
      </c>
    </row>
    <row r="116">
      <c r="A116" s="24" t="s">
        <v>812</v>
      </c>
      <c r="B116" s="1">
        <v>0.966509999999961</v>
      </c>
      <c r="C116" s="1">
        <v>93.3938</v>
      </c>
      <c r="D116" s="1">
        <v>4.2672</v>
      </c>
      <c r="E116" s="1">
        <v>3.7955</v>
      </c>
    </row>
    <row r="118">
      <c r="A118" s="24" t="s">
        <v>813</v>
      </c>
      <c r="B118" s="1">
        <v>0.997001999999976</v>
      </c>
      <c r="C118" s="1">
        <v>89.499</v>
      </c>
      <c r="D118" s="1">
        <v>0.3724</v>
      </c>
      <c r="E118" s="1">
        <v>1.7011</v>
      </c>
    </row>
    <row r="119">
      <c r="A119" s="23" t="s">
        <v>814</v>
      </c>
      <c r="B119" s="18">
        <v>0.997166999999978</v>
      </c>
      <c r="C119" s="18">
        <v>89.544</v>
      </c>
      <c r="D119" s="18">
        <v>0.3878</v>
      </c>
      <c r="E119" s="18">
        <v>1.7554</v>
      </c>
    </row>
    <row r="120">
      <c r="A120" s="24" t="s">
        <v>815</v>
      </c>
      <c r="B120" s="1">
        <v>0.997140999999978</v>
      </c>
      <c r="C120" s="1">
        <v>89.5422</v>
      </c>
      <c r="D120" s="1">
        <v>0.456</v>
      </c>
      <c r="E120" s="1">
        <v>1.8584</v>
      </c>
    </row>
    <row r="121">
      <c r="A121" s="24" t="s">
        <v>816</v>
      </c>
      <c r="B121" s="1">
        <v>0.996677999999974</v>
      </c>
      <c r="C121" s="1">
        <v>89.596</v>
      </c>
      <c r="D121" s="1">
        <v>0.465</v>
      </c>
      <c r="E121" s="1">
        <v>2.0502</v>
      </c>
    </row>
    <row r="123">
      <c r="A123" s="1" t="s">
        <v>201</v>
      </c>
      <c r="B123" s="1">
        <v>1.0</v>
      </c>
      <c r="C123" s="1">
        <v>2.0</v>
      </c>
      <c r="D123" s="1">
        <v>4.0</v>
      </c>
      <c r="E123" s="1">
        <v>8.0</v>
      </c>
      <c r="F123" s="1">
        <v>16.0</v>
      </c>
      <c r="G123" s="1">
        <v>32.0</v>
      </c>
      <c r="H123" s="1">
        <v>64.0</v>
      </c>
      <c r="I123" s="1">
        <v>128.0</v>
      </c>
      <c r="J123" s="1">
        <v>256.0</v>
      </c>
    </row>
    <row r="124">
      <c r="A124" s="24" t="s">
        <v>811</v>
      </c>
      <c r="B124" s="2"/>
      <c r="C124" s="1">
        <v>0.629893999999993</v>
      </c>
      <c r="D124" s="1">
        <v>0.744757999999989</v>
      </c>
      <c r="E124" s="1">
        <v>0.75034999999999</v>
      </c>
      <c r="F124" s="1">
        <v>0.920956999999981</v>
      </c>
      <c r="G124" s="1">
        <v>0.965071999999962</v>
      </c>
      <c r="H124" s="1">
        <v>0.971156999999959</v>
      </c>
      <c r="I124" s="1">
        <v>0.97283699999996</v>
      </c>
      <c r="J124" s="1">
        <v>0.973222999999962</v>
      </c>
    </row>
    <row r="125">
      <c r="D125" s="1">
        <v>0.786799999999989</v>
      </c>
      <c r="E125" s="1">
        <v>0.850898999999986</v>
      </c>
      <c r="F125" s="1">
        <v>0.931895999999982</v>
      </c>
      <c r="G125" s="1">
        <v>0.965128999999965</v>
      </c>
      <c r="H125" s="1">
        <v>0.971156999999959</v>
      </c>
      <c r="I125" s="1">
        <v>0.97283699999996</v>
      </c>
      <c r="J125" s="1">
        <v>0.973222999999962</v>
      </c>
    </row>
    <row r="126">
      <c r="D126" s="1" t="s">
        <v>817</v>
      </c>
      <c r="E126" s="1" t="s">
        <v>818</v>
      </c>
      <c r="F126" s="1" t="s">
        <v>819</v>
      </c>
      <c r="G126" s="1" t="s">
        <v>820</v>
      </c>
      <c r="H126" s="1" t="s">
        <v>821</v>
      </c>
      <c r="I126" s="1" t="s">
        <v>821</v>
      </c>
      <c r="J126" s="1" t="s">
        <v>821</v>
      </c>
    </row>
    <row r="130">
      <c r="A130" s="42" t="s">
        <v>822</v>
      </c>
      <c r="B130" s="1">
        <v>0.966457999999963</v>
      </c>
    </row>
    <row r="131">
      <c r="A131" s="43" t="s">
        <v>823</v>
      </c>
      <c r="B131" s="18">
        <v>0.972775999999962</v>
      </c>
    </row>
    <row r="132">
      <c r="A132" s="43" t="s">
        <v>824</v>
      </c>
      <c r="B132" s="1">
        <v>0.972817999999962</v>
      </c>
    </row>
    <row r="134">
      <c r="A134" s="42" t="s">
        <v>825</v>
      </c>
      <c r="B134" s="1">
        <v>0.980981999999952</v>
      </c>
    </row>
    <row r="135">
      <c r="A135" s="43" t="s">
        <v>826</v>
      </c>
      <c r="B135" s="31">
        <v>0.983204999999954</v>
      </c>
      <c r="C135" s="31"/>
      <c r="D135" s="31"/>
      <c r="E135" s="31"/>
    </row>
    <row r="136">
      <c r="A136" s="42" t="s">
        <v>827</v>
      </c>
      <c r="B136" s="1">
        <v>0.981031999999956</v>
      </c>
    </row>
    <row r="138">
      <c r="A138" s="24" t="s">
        <v>683</v>
      </c>
      <c r="B138" s="1">
        <v>0.987648999999953</v>
      </c>
    </row>
    <row r="139">
      <c r="A139" s="23" t="s">
        <v>684</v>
      </c>
      <c r="B139" s="18">
        <v>0.989198999999953</v>
      </c>
      <c r="C139" s="1"/>
      <c r="D139" s="1"/>
      <c r="E139" s="1"/>
    </row>
    <row r="140">
      <c r="A140" s="24" t="s">
        <v>828</v>
      </c>
      <c r="B140" s="1">
        <v>0.988981999999952</v>
      </c>
      <c r="C140" s="18"/>
      <c r="D140" s="18"/>
      <c r="E140" s="18"/>
    </row>
    <row r="141">
      <c r="A141" s="24" t="s">
        <v>692</v>
      </c>
      <c r="B141" s="1">
        <v>0.988071999999951</v>
      </c>
      <c r="C141" s="1"/>
      <c r="D141" s="1"/>
      <c r="E141" s="1"/>
    </row>
    <row r="143">
      <c r="A143" s="23" t="s">
        <v>214</v>
      </c>
      <c r="B143" s="1">
        <v>1.0</v>
      </c>
      <c r="C143" s="1">
        <v>2.0</v>
      </c>
      <c r="D143" s="1">
        <v>4.0</v>
      </c>
      <c r="E143" s="1">
        <v>8.0</v>
      </c>
      <c r="F143" s="1">
        <v>16.0</v>
      </c>
      <c r="G143" s="1">
        <v>32.0</v>
      </c>
      <c r="H143" s="1">
        <v>64.0</v>
      </c>
      <c r="I143" s="1">
        <v>128.0</v>
      </c>
      <c r="J143" s="1">
        <v>256.0</v>
      </c>
    </row>
    <row r="144">
      <c r="A144" s="1">
        <v>0.0</v>
      </c>
      <c r="J144" s="2"/>
    </row>
    <row r="145">
      <c r="A145" s="1">
        <f>1/64</f>
        <v>0.015625</v>
      </c>
      <c r="J145" s="1" t="s">
        <v>829</v>
      </c>
    </row>
    <row r="146">
      <c r="A146" s="1">
        <f>1/32</f>
        <v>0.03125</v>
      </c>
      <c r="J146" s="1" t="s">
        <v>830</v>
      </c>
    </row>
    <row r="147">
      <c r="A147" s="2">
        <f>3/64</f>
        <v>0.046875</v>
      </c>
      <c r="J147" s="1" t="s">
        <v>831</v>
      </c>
    </row>
    <row r="148">
      <c r="A148" s="2">
        <f>1/16</f>
        <v>0.0625</v>
      </c>
      <c r="J148" s="1" t="s">
        <v>832</v>
      </c>
    </row>
    <row r="149">
      <c r="A149" s="2">
        <f>5/64</f>
        <v>0.078125</v>
      </c>
      <c r="J149" s="1" t="s">
        <v>833</v>
      </c>
    </row>
    <row r="150">
      <c r="A150" s="2">
        <f>3/32</f>
        <v>0.09375</v>
      </c>
      <c r="J150" s="1" t="s">
        <v>834</v>
      </c>
    </row>
    <row r="151">
      <c r="A151" s="1">
        <f>7/64</f>
        <v>0.109375</v>
      </c>
      <c r="J151" s="1" t="s">
        <v>835</v>
      </c>
    </row>
    <row r="152">
      <c r="A152" s="2">
        <f>1/8</f>
        <v>0.125</v>
      </c>
      <c r="J152" s="1" t="s">
        <v>836</v>
      </c>
    </row>
    <row r="153">
      <c r="A153" s="1">
        <f>9/64</f>
        <v>0.140625</v>
      </c>
      <c r="J153" s="1" t="s">
        <v>837</v>
      </c>
    </row>
    <row r="154">
      <c r="A154" s="1">
        <f>5/32</f>
        <v>0.15625</v>
      </c>
    </row>
    <row r="155">
      <c r="A155" s="2">
        <f>11/64</f>
        <v>0.171875</v>
      </c>
    </row>
    <row r="156">
      <c r="A156" s="1">
        <f>3/16</f>
        <v>0.1875</v>
      </c>
    </row>
    <row r="157">
      <c r="A157" s="2">
        <f>13/64</f>
        <v>0.203125</v>
      </c>
    </row>
    <row r="158">
      <c r="A158" s="2">
        <f>7/32</f>
        <v>0.21875</v>
      </c>
    </row>
    <row r="159">
      <c r="A159" s="2">
        <f>15/64</f>
        <v>0.234375</v>
      </c>
    </row>
    <row r="160">
      <c r="A160" s="2">
        <f>1/4</f>
        <v>0.25</v>
      </c>
    </row>
    <row r="163">
      <c r="A163" s="23" t="s">
        <v>214</v>
      </c>
      <c r="B163" s="1" t="s">
        <v>838</v>
      </c>
      <c r="C163" s="1">
        <v>2.0</v>
      </c>
      <c r="D163" s="1">
        <v>4.0</v>
      </c>
      <c r="E163" s="1">
        <v>8.0</v>
      </c>
      <c r="F163" s="1">
        <v>16.0</v>
      </c>
      <c r="G163" s="1">
        <v>32.0</v>
      </c>
      <c r="H163" s="1">
        <v>64.0</v>
      </c>
    </row>
    <row r="164">
      <c r="A164" s="1">
        <v>0.0</v>
      </c>
      <c r="B164" s="1">
        <v>0.629745999999995</v>
      </c>
      <c r="C164" s="1"/>
      <c r="D164" s="1"/>
      <c r="E164" s="1"/>
      <c r="F164" s="1"/>
      <c r="G164" s="1"/>
      <c r="H164" s="1"/>
    </row>
    <row r="165">
      <c r="A165" s="1">
        <f>1/64</f>
        <v>0.015625</v>
      </c>
      <c r="B165" s="32"/>
      <c r="C165" s="18"/>
      <c r="D165" s="18"/>
      <c r="E165" s="1"/>
      <c r="F165" s="1"/>
      <c r="G165" s="1"/>
      <c r="H165" s="1"/>
    </row>
    <row r="166">
      <c r="A166" s="1">
        <f>1/32</f>
        <v>0.03125</v>
      </c>
      <c r="C166" s="1"/>
      <c r="D166" s="1"/>
      <c r="E166" s="1"/>
      <c r="F166" s="1"/>
      <c r="G166" s="1"/>
      <c r="H166" s="1"/>
    </row>
    <row r="167">
      <c r="A167" s="2">
        <f>3/64</f>
        <v>0.046875</v>
      </c>
      <c r="B167" s="1">
        <v>0.65809499999999</v>
      </c>
      <c r="C167" s="1"/>
      <c r="E167" s="1"/>
      <c r="F167" s="1"/>
      <c r="G167" s="1"/>
      <c r="H167" s="1"/>
    </row>
    <row r="168">
      <c r="A168" s="2">
        <f>1/16</f>
        <v>0.0625</v>
      </c>
      <c r="C168" s="1"/>
      <c r="D168" s="1"/>
      <c r="E168" s="1"/>
      <c r="F168" s="1"/>
      <c r="G168" s="1"/>
      <c r="H168" s="1"/>
    </row>
    <row r="169">
      <c r="A169" s="2">
        <f>5/64</f>
        <v>0.078125</v>
      </c>
      <c r="C169" s="1"/>
      <c r="E169" s="1"/>
      <c r="F169" s="1"/>
      <c r="G169" s="1"/>
      <c r="H169" s="1"/>
    </row>
    <row r="170">
      <c r="A170" s="2">
        <f>3/32</f>
        <v>0.09375</v>
      </c>
      <c r="B170" s="1">
        <v>0.675814999999988</v>
      </c>
      <c r="C170" s="1"/>
      <c r="E170" s="1"/>
      <c r="F170" s="1"/>
      <c r="G170" s="33"/>
      <c r="H170" s="1"/>
    </row>
    <row r="171">
      <c r="A171" s="1">
        <f>7/64</f>
        <v>0.109375</v>
      </c>
      <c r="C171" s="1"/>
      <c r="E171" s="1"/>
      <c r="F171" s="1"/>
      <c r="G171" s="1"/>
      <c r="H171" s="33"/>
    </row>
    <row r="172">
      <c r="A172" s="2">
        <f>1/8</f>
        <v>0.125</v>
      </c>
      <c r="C172" s="1"/>
      <c r="E172" s="1"/>
      <c r="F172" s="1"/>
      <c r="G172" s="1"/>
      <c r="H172" s="1"/>
    </row>
    <row r="173">
      <c r="A173" s="1">
        <f>9/64</f>
        <v>0.140625</v>
      </c>
      <c r="B173" s="1">
        <v>0.68570799999999</v>
      </c>
      <c r="C173" s="1"/>
      <c r="E173" s="18"/>
      <c r="F173" s="1"/>
      <c r="G173" s="1"/>
      <c r="H173" s="1"/>
    </row>
    <row r="174">
      <c r="A174" s="1">
        <f>5/32</f>
        <v>0.15625</v>
      </c>
      <c r="C174" s="1"/>
      <c r="E174" s="1"/>
      <c r="F174" s="1"/>
      <c r="G174" s="1"/>
      <c r="H174" s="1"/>
    </row>
    <row r="175">
      <c r="A175" s="2">
        <f>11/64</f>
        <v>0.171875</v>
      </c>
      <c r="C175" s="39"/>
      <c r="E175" s="1"/>
      <c r="F175" s="1"/>
      <c r="G175" s="1"/>
      <c r="H175" s="1"/>
    </row>
    <row r="176">
      <c r="A176" s="1">
        <f>3/16</f>
        <v>0.1875</v>
      </c>
      <c r="F176" s="1"/>
      <c r="G176" s="1"/>
      <c r="H176" s="1"/>
    </row>
    <row r="177">
      <c r="A177" s="2">
        <f>13/64</f>
        <v>0.203125</v>
      </c>
      <c r="E177" s="1" t="s">
        <v>839</v>
      </c>
      <c r="F177" s="1" t="s">
        <v>840</v>
      </c>
      <c r="G177" s="1"/>
      <c r="H177" s="1"/>
    </row>
    <row r="178">
      <c r="A178" s="2">
        <f>7/32</f>
        <v>0.21875</v>
      </c>
      <c r="B178" s="1">
        <v>0.686958999999991</v>
      </c>
      <c r="E178" s="1" t="s">
        <v>841</v>
      </c>
      <c r="F178" s="1" t="s">
        <v>842</v>
      </c>
      <c r="G178" s="1">
        <v>0.979028999999954</v>
      </c>
      <c r="H178" s="1"/>
    </row>
    <row r="179">
      <c r="A179" s="2">
        <f>15/64</f>
        <v>0.234375</v>
      </c>
      <c r="E179" s="1" t="s">
        <v>843</v>
      </c>
      <c r="F179" s="18" t="s">
        <v>844</v>
      </c>
      <c r="G179" s="18" t="s">
        <v>845</v>
      </c>
      <c r="H179" s="1" t="s">
        <v>846</v>
      </c>
    </row>
    <row r="180">
      <c r="A180" s="13">
        <f>1/4</f>
        <v>0.25</v>
      </c>
      <c r="B180" s="14"/>
      <c r="C180" s="14"/>
      <c r="D180" s="14"/>
      <c r="E180" s="14"/>
      <c r="F180" s="9" t="s">
        <v>847</v>
      </c>
      <c r="G180" s="9" t="s">
        <v>848</v>
      </c>
      <c r="H180" s="34" t="s">
        <v>849</v>
      </c>
    </row>
    <row r="181">
      <c r="A181" s="2">
        <f>17/64</f>
        <v>0.265625</v>
      </c>
      <c r="G181" s="1"/>
      <c r="H181" s="1" t="s">
        <v>850</v>
      </c>
    </row>
    <row r="183">
      <c r="A183" s="23" t="s">
        <v>373</v>
      </c>
      <c r="B183" s="1" t="s">
        <v>851</v>
      </c>
      <c r="C183" s="1" t="s">
        <v>852</v>
      </c>
      <c r="D183" s="1">
        <v>2.0</v>
      </c>
      <c r="E183" s="1" t="s">
        <v>853</v>
      </c>
      <c r="F183" s="1" t="s">
        <v>854</v>
      </c>
      <c r="G183" s="1">
        <v>4.0</v>
      </c>
      <c r="H183" s="1" t="s">
        <v>855</v>
      </c>
      <c r="I183" s="1">
        <v>8.0</v>
      </c>
      <c r="J183" s="1">
        <v>8.0</v>
      </c>
      <c r="K183" s="29" t="s">
        <v>856</v>
      </c>
      <c r="L183" s="28">
        <v>16.0</v>
      </c>
      <c r="M183" s="28">
        <v>16.0</v>
      </c>
      <c r="N183" s="28">
        <v>32.0</v>
      </c>
      <c r="O183" s="28">
        <v>32.0</v>
      </c>
      <c r="P183" s="30">
        <v>64.0</v>
      </c>
      <c r="Q183" s="30">
        <v>64.0</v>
      </c>
    </row>
    <row r="184">
      <c r="A184" s="1">
        <v>0.0</v>
      </c>
      <c r="B184" s="1">
        <v>0.629745999999995</v>
      </c>
      <c r="C184" s="1">
        <v>0.629822999999993</v>
      </c>
      <c r="D184" s="1"/>
      <c r="E184" s="1">
        <v>0.786759999999986</v>
      </c>
      <c r="F184" s="28">
        <v>0.786759999999986</v>
      </c>
      <c r="G184" s="1"/>
      <c r="H184" s="1">
        <v>0.846555999999983</v>
      </c>
      <c r="I184" s="30">
        <v>0.846555999999983</v>
      </c>
      <c r="J184" s="1"/>
      <c r="K184" s="29">
        <v>0.86674199999998</v>
      </c>
      <c r="L184" s="29">
        <v>0.86674199999998</v>
      </c>
      <c r="M184" s="26"/>
      <c r="N184" s="29">
        <v>0.872896999999986</v>
      </c>
      <c r="O184" s="26"/>
      <c r="P184" s="1">
        <v>0.874074999999983</v>
      </c>
      <c r="Q184" s="27"/>
    </row>
    <row r="185">
      <c r="A185" s="1">
        <f>1/64</f>
        <v>0.015625</v>
      </c>
      <c r="B185" s="1">
        <v>0.640540999999994</v>
      </c>
      <c r="C185" s="1">
        <v>0.64333699999999</v>
      </c>
      <c r="D185" s="1"/>
      <c r="E185" s="1">
        <v>0.794865999999988</v>
      </c>
      <c r="F185" s="28">
        <v>0.79758099999999</v>
      </c>
      <c r="G185" s="1"/>
      <c r="H185" s="1">
        <v>0.854843999999983</v>
      </c>
      <c r="I185" s="30">
        <v>0.852867999999982</v>
      </c>
      <c r="J185" s="1"/>
      <c r="K185" s="29">
        <v>0.875378999999984</v>
      </c>
      <c r="L185" s="29">
        <v>0.870159999999983</v>
      </c>
      <c r="M185" s="26"/>
      <c r="N185" s="44"/>
      <c r="O185" s="26"/>
      <c r="P185" s="27"/>
      <c r="Q185" s="27"/>
    </row>
    <row r="186">
      <c r="A186" s="1">
        <f>1/32</f>
        <v>0.03125</v>
      </c>
      <c r="B186" s="1">
        <v>0.650348999999994</v>
      </c>
      <c r="C186" s="1">
        <v>0.656986999999991</v>
      </c>
      <c r="D186" s="1"/>
      <c r="E186" s="1">
        <v>0.801376999999987</v>
      </c>
      <c r="F186" s="28">
        <v>0.807976999999989</v>
      </c>
      <c r="G186" s="1"/>
      <c r="H186" s="1">
        <v>0.861829999999986</v>
      </c>
      <c r="I186" s="30">
        <v>0.858960999999983</v>
      </c>
      <c r="J186" s="1"/>
      <c r="K186" s="29">
        <v>0.883749999999981</v>
      </c>
      <c r="L186" s="29">
        <v>0.873797999999981</v>
      </c>
      <c r="M186" s="26"/>
      <c r="N186" s="26"/>
      <c r="O186" s="26"/>
      <c r="P186" s="27"/>
      <c r="Q186" s="27"/>
    </row>
    <row r="187">
      <c r="A187" s="2">
        <f>3/64</f>
        <v>0.046875</v>
      </c>
      <c r="B187" s="1">
        <v>0.659154999999993</v>
      </c>
      <c r="C187" s="1">
        <v>0.670788999999987</v>
      </c>
      <c r="D187" s="1"/>
      <c r="E187" s="1">
        <v>0.80764599999999</v>
      </c>
      <c r="F187" s="28">
        <v>0.818247999999985</v>
      </c>
      <c r="G187" s="1"/>
      <c r="H187" s="1">
        <v>0.868477999999984</v>
      </c>
      <c r="I187" s="30">
        <v>0.865066999999982</v>
      </c>
      <c r="J187" s="1"/>
      <c r="K187" s="29">
        <v>0.891750999999982</v>
      </c>
      <c r="L187" s="29">
        <v>0.877523999999981</v>
      </c>
      <c r="M187" s="26"/>
      <c r="N187" s="26"/>
      <c r="O187" s="26"/>
      <c r="P187" s="27"/>
      <c r="Q187" s="27"/>
    </row>
    <row r="188">
      <c r="A188" s="2">
        <f>1/16</f>
        <v>0.0625</v>
      </c>
      <c r="B188" s="1">
        <v>0.666641999999992</v>
      </c>
      <c r="C188" s="1">
        <v>0.683947999999991</v>
      </c>
      <c r="D188" s="1"/>
      <c r="E188" s="1">
        <v>0.812672999999989</v>
      </c>
      <c r="F188" s="28">
        <v>0.827999999999984</v>
      </c>
      <c r="G188" s="1"/>
      <c r="H188" s="1">
        <v>0.874260999999982</v>
      </c>
      <c r="I188" s="30">
        <v>0.871109999999979</v>
      </c>
      <c r="J188" s="1"/>
      <c r="K188" s="29">
        <v>0.898841999999983</v>
      </c>
      <c r="L188" s="29">
        <v>0.881995999999982</v>
      </c>
      <c r="M188" s="26"/>
      <c r="N188" s="26"/>
      <c r="O188" s="26"/>
      <c r="P188" s="27"/>
      <c r="Q188" s="27"/>
    </row>
    <row r="189">
      <c r="A189" s="2">
        <f>5/64</f>
        <v>0.078125</v>
      </c>
      <c r="B189" s="1">
        <v>0.672940999999993</v>
      </c>
      <c r="C189" s="1">
        <v>0.69655399999999</v>
      </c>
      <c r="D189" s="1"/>
      <c r="E189" s="1">
        <v>0.816135999999988</v>
      </c>
      <c r="F189" s="28">
        <v>0.837314999999986</v>
      </c>
      <c r="G189" s="1"/>
      <c r="H189" s="1">
        <v>0.879639999999984</v>
      </c>
      <c r="I189" s="30">
        <v>0.876534999999981</v>
      </c>
      <c r="J189" s="1"/>
      <c r="K189" s="29">
        <v>0.905654999999986</v>
      </c>
      <c r="L189" s="29">
        <v>0.886360999999985</v>
      </c>
      <c r="M189" s="26"/>
      <c r="N189" s="26"/>
      <c r="O189" s="26"/>
      <c r="P189" s="27"/>
      <c r="Q189" s="27"/>
    </row>
    <row r="190">
      <c r="A190" s="2">
        <f>3/32</f>
        <v>0.09375</v>
      </c>
      <c r="B190" s="1">
        <v>0.678711999999991</v>
      </c>
      <c r="C190" s="4">
        <v>0.708967999999987</v>
      </c>
      <c r="D190" s="1"/>
      <c r="E190" s="1">
        <v>0.819252999999987</v>
      </c>
      <c r="F190" s="28">
        <v>0.846033999999985</v>
      </c>
      <c r="G190" s="1"/>
      <c r="H190" s="1">
        <v>0.884594999999983</v>
      </c>
      <c r="I190" s="30">
        <v>0.882441999999986</v>
      </c>
      <c r="J190" s="1"/>
      <c r="K190" s="29">
        <v>0.911609999999985</v>
      </c>
      <c r="L190" s="29">
        <v>0.890921999999983</v>
      </c>
      <c r="M190" s="26"/>
      <c r="N190" s="26"/>
      <c r="O190" s="26"/>
      <c r="P190" s="27"/>
      <c r="Q190" s="27"/>
    </row>
    <row r="191">
      <c r="A191" s="1">
        <f>7/64</f>
        <v>0.109375</v>
      </c>
      <c r="B191" s="1">
        <v>0.683823999999992</v>
      </c>
      <c r="C191" s="1">
        <v>0.721117999999992</v>
      </c>
      <c r="D191" s="1"/>
      <c r="E191" s="1">
        <v>0.822083999999985</v>
      </c>
      <c r="F191" s="28">
        <v>0.854487999999985</v>
      </c>
      <c r="G191" s="1"/>
      <c r="H191" s="1">
        <v>0.889498999999987</v>
      </c>
      <c r="I191" s="30">
        <v>0.887767999999984</v>
      </c>
      <c r="J191" s="1"/>
      <c r="K191" s="29">
        <v>0.917142999999982</v>
      </c>
      <c r="L191" s="29">
        <v>0.89553899999998</v>
      </c>
      <c r="M191" s="26"/>
      <c r="N191" s="26"/>
      <c r="O191" s="26"/>
      <c r="P191" s="27"/>
      <c r="Q191" s="27"/>
    </row>
    <row r="192">
      <c r="A192" s="2">
        <f>1/8</f>
        <v>0.125</v>
      </c>
      <c r="B192" s="1">
        <v>0.68802499999999</v>
      </c>
      <c r="C192" s="1">
        <v>0.73276999999999</v>
      </c>
      <c r="D192" s="1"/>
      <c r="E192" s="1">
        <v>0.823912999999987</v>
      </c>
      <c r="F192" s="1">
        <v>0.862817999999985</v>
      </c>
      <c r="G192" s="1"/>
      <c r="H192" s="1">
        <v>0.894035999999983</v>
      </c>
      <c r="I192" s="30">
        <v>0.893278999999982</v>
      </c>
      <c r="J192" s="1"/>
      <c r="K192" s="29">
        <v>0.922207999999982</v>
      </c>
      <c r="L192" s="29">
        <v>0.900879999999984</v>
      </c>
      <c r="M192" s="26"/>
      <c r="N192" s="26"/>
      <c r="O192" s="26"/>
      <c r="P192" s="27"/>
      <c r="Q192" s="27"/>
    </row>
    <row r="193">
      <c r="A193" s="1">
        <f>9/64</f>
        <v>0.140625</v>
      </c>
      <c r="B193" s="1">
        <v>0.691324999999987</v>
      </c>
      <c r="C193" s="1">
        <v>0.74405999999999</v>
      </c>
      <c r="D193" s="1"/>
      <c r="E193" s="1">
        <v>0.825794999999986</v>
      </c>
      <c r="F193" s="1">
        <v>0.870273999999982</v>
      </c>
      <c r="G193" s="1"/>
      <c r="H193" s="1">
        <v>0.898148999999984</v>
      </c>
      <c r="I193" s="1">
        <v>0.899013999999982</v>
      </c>
      <c r="J193" s="18"/>
      <c r="K193" s="29">
        <v>0.926592999999979</v>
      </c>
      <c r="L193" s="29">
        <v>0.905996999999984</v>
      </c>
      <c r="M193" s="26"/>
      <c r="N193" s="26"/>
      <c r="O193" s="26"/>
      <c r="P193" s="27"/>
      <c r="Q193" s="27"/>
    </row>
    <row r="194">
      <c r="A194" s="1">
        <f>5/32</f>
        <v>0.15625</v>
      </c>
      <c r="B194" s="1">
        <v>0.695523999999993</v>
      </c>
      <c r="C194" s="1">
        <v>0.754747999999991</v>
      </c>
      <c r="D194" s="1"/>
      <c r="E194" s="1">
        <v>0.826244999999985</v>
      </c>
      <c r="F194" s="1">
        <v>0.878012999999984</v>
      </c>
      <c r="G194" s="1"/>
      <c r="H194" s="1">
        <v>0.901392999999986</v>
      </c>
      <c r="I194" s="1">
        <v>0.904325999999982</v>
      </c>
      <c r="J194" s="1"/>
      <c r="K194" s="29">
        <v>0.930223999999978</v>
      </c>
      <c r="L194" s="29">
        <v>0.911273999999988</v>
      </c>
      <c r="M194" s="26"/>
      <c r="N194" s="26"/>
      <c r="O194" s="26"/>
      <c r="P194" s="27"/>
      <c r="Q194" s="27"/>
    </row>
    <row r="195">
      <c r="A195" s="2">
        <f>11/64</f>
        <v>0.171875</v>
      </c>
      <c r="B195" s="1">
        <v>0.69748799999999</v>
      </c>
      <c r="C195" s="1">
        <v>0.765057999999988</v>
      </c>
      <c r="D195" s="1"/>
      <c r="E195" s="34">
        <v>0.826279999999981</v>
      </c>
      <c r="F195" s="1">
        <v>0.884651999999985</v>
      </c>
      <c r="G195" s="1" t="s">
        <v>857</v>
      </c>
      <c r="H195" s="1">
        <v>0.904701999999988</v>
      </c>
      <c r="I195" s="1">
        <v>0.909571999999984</v>
      </c>
      <c r="J195" s="1"/>
      <c r="K195" s="29">
        <v>0.934104999999978</v>
      </c>
      <c r="L195" s="29">
        <v>0.916498999999984</v>
      </c>
      <c r="M195" s="26"/>
      <c r="N195" s="26"/>
      <c r="O195" s="26"/>
      <c r="P195" s="27"/>
      <c r="Q195" s="27"/>
    </row>
    <row r="196">
      <c r="A196" s="1">
        <f>3/16</f>
        <v>0.1875</v>
      </c>
      <c r="B196" s="1">
        <v>0.699620999999991</v>
      </c>
      <c r="C196" s="1">
        <v>0.774975999999992</v>
      </c>
      <c r="D196" s="1" t="s">
        <v>858</v>
      </c>
      <c r="E196" s="1">
        <v>0.826053999999989</v>
      </c>
      <c r="F196" s="1">
        <v>0.891566999999985</v>
      </c>
      <c r="G196" s="1" t="s">
        <v>859</v>
      </c>
      <c r="H196" s="1">
        <v>0.907081999999984</v>
      </c>
      <c r="I196" s="1">
        <v>0.914925999999986</v>
      </c>
      <c r="K196" s="29">
        <v>0.936524999999977</v>
      </c>
      <c r="L196" s="29">
        <v>0.922042999999981</v>
      </c>
      <c r="M196" s="26"/>
      <c r="N196" s="26"/>
      <c r="O196" s="26"/>
      <c r="P196" s="27"/>
      <c r="Q196" s="27"/>
    </row>
    <row r="197">
      <c r="A197" s="2">
        <f>13/64</f>
        <v>0.203125</v>
      </c>
      <c r="B197" s="1">
        <v>0.700712999999991</v>
      </c>
      <c r="C197" s="1">
        <v>0.784392999999991</v>
      </c>
      <c r="D197" s="1" t="s">
        <v>860</v>
      </c>
      <c r="E197" s="1">
        <v>0.825441999999984</v>
      </c>
      <c r="F197" s="1">
        <v>0.897852999999986</v>
      </c>
      <c r="G197" s="1" t="s">
        <v>861</v>
      </c>
      <c r="H197" s="1">
        <v>0.909368999999983</v>
      </c>
      <c r="I197" s="1">
        <v>0.919863999999983</v>
      </c>
      <c r="K197" s="29">
        <v>0.93926699999998</v>
      </c>
      <c r="L197" s="29">
        <v>0.927288999999984</v>
      </c>
      <c r="M197" s="26"/>
      <c r="N197" s="26"/>
      <c r="O197" s="26"/>
      <c r="P197" s="27"/>
      <c r="Q197" s="27"/>
    </row>
    <row r="198">
      <c r="A198" s="2">
        <f>7/32</f>
        <v>0.21875</v>
      </c>
      <c r="B198" s="1">
        <v>0.70231899999999</v>
      </c>
      <c r="C198" s="1">
        <v>0.79335499999999</v>
      </c>
      <c r="D198" s="1" t="s">
        <v>862</v>
      </c>
      <c r="E198" s="1">
        <v>0.824632999999985</v>
      </c>
      <c r="F198" s="1">
        <v>0.903351999999989</v>
      </c>
      <c r="G198" s="1" t="s">
        <v>863</v>
      </c>
      <c r="H198" s="1">
        <v>0.911209999999985</v>
      </c>
      <c r="I198" s="1">
        <v>0.925058999999984</v>
      </c>
      <c r="K198" s="29">
        <v>0.941286999999976</v>
      </c>
      <c r="L198" s="29">
        <v>0.932562999999979</v>
      </c>
      <c r="M198" s="26"/>
      <c r="N198" s="26"/>
      <c r="O198" s="26"/>
      <c r="P198" s="27"/>
      <c r="Q198" s="27"/>
    </row>
    <row r="199">
      <c r="A199" s="2">
        <f>15/64</f>
        <v>0.234375</v>
      </c>
      <c r="B199" s="1">
        <v>0.702166999999992</v>
      </c>
      <c r="C199" s="4">
        <v>0.801877999999989</v>
      </c>
      <c r="D199" s="1" t="s">
        <v>864</v>
      </c>
      <c r="E199" s="1">
        <v>0.823344999999986</v>
      </c>
      <c r="F199" s="34">
        <v>0.908959999999986</v>
      </c>
      <c r="G199" s="18" t="s">
        <v>865</v>
      </c>
      <c r="H199" s="1">
        <v>0.912809999999981</v>
      </c>
      <c r="I199" s="1">
        <v>0.930181999999978</v>
      </c>
      <c r="J199" s="1" t="s">
        <v>866</v>
      </c>
      <c r="K199" s="29">
        <v>0.942773999999973</v>
      </c>
      <c r="L199" s="29">
        <v>0.937577999999976</v>
      </c>
      <c r="M199" s="26"/>
      <c r="N199" s="26"/>
      <c r="O199" s="26"/>
      <c r="P199" s="30"/>
      <c r="Q199" s="30" t="s">
        <v>867</v>
      </c>
    </row>
    <row r="200">
      <c r="A200" s="2">
        <f>1/4</f>
        <v>0.25</v>
      </c>
      <c r="B200" s="34">
        <v>0.70274799999999</v>
      </c>
      <c r="C200" s="4">
        <v>0.810204999999987</v>
      </c>
      <c r="D200" s="1" t="s">
        <v>868</v>
      </c>
      <c r="E200" s="1">
        <v>0.821013999999988</v>
      </c>
      <c r="F200" s="1">
        <v>0.914224999999986</v>
      </c>
      <c r="G200" s="1" t="s">
        <v>869</v>
      </c>
      <c r="H200" s="1">
        <v>0.913579999999984</v>
      </c>
      <c r="I200" s="1">
        <v>0.935020999999974</v>
      </c>
      <c r="J200" s="18" t="s">
        <v>870</v>
      </c>
      <c r="K200" s="29">
        <v>0.944001999999973</v>
      </c>
      <c r="L200" s="29">
        <v>0.942545999999975</v>
      </c>
      <c r="M200" s="26"/>
      <c r="N200" s="26"/>
      <c r="O200" s="26"/>
      <c r="P200" s="30"/>
      <c r="Q200" s="30" t="s">
        <v>871</v>
      </c>
    </row>
    <row r="201">
      <c r="A201" s="2">
        <f>17/64</f>
        <v>0.265625</v>
      </c>
      <c r="B201" s="1">
        <v>0.700673999999989</v>
      </c>
      <c r="C201" s="1">
        <v>0.817173999999986</v>
      </c>
      <c r="D201" s="1" t="s">
        <v>872</v>
      </c>
      <c r="E201" s="1">
        <v>0.818236999999987</v>
      </c>
      <c r="F201" s="1">
        <v>0.919089999999981</v>
      </c>
      <c r="H201" s="1">
        <v>0.914325999999985</v>
      </c>
      <c r="I201" s="1">
        <v>0.939234999999973</v>
      </c>
      <c r="J201" s="1" t="s">
        <v>873</v>
      </c>
      <c r="K201" s="29">
        <v>0.944247999999977</v>
      </c>
      <c r="L201" s="29">
        <v>0.947365999999974</v>
      </c>
      <c r="M201" s="28"/>
      <c r="N201" s="26"/>
      <c r="O201" s="26"/>
      <c r="P201" s="30"/>
      <c r="Q201" s="30" t="s">
        <v>874</v>
      </c>
    </row>
    <row r="202">
      <c r="A202" s="2">
        <f>9/32</f>
        <v>0.28125</v>
      </c>
      <c r="B202" s="1">
        <v>0.69994299999999</v>
      </c>
      <c r="C202" s="1">
        <v>0.824243999999988</v>
      </c>
      <c r="D202" s="1" t="s">
        <v>875</v>
      </c>
      <c r="E202" s="2"/>
      <c r="F202" s="1">
        <v>0.923266999999984</v>
      </c>
      <c r="H202" s="34">
        <v>0.914448999999984</v>
      </c>
      <c r="I202" s="1">
        <v>0.943493999999975</v>
      </c>
      <c r="J202" s="1" t="s">
        <v>876</v>
      </c>
      <c r="K202" s="31">
        <v>0.944473999999975</v>
      </c>
      <c r="L202" s="29">
        <v>0.951875999999969</v>
      </c>
      <c r="M202" s="30"/>
      <c r="N202" s="26"/>
      <c r="O202" s="26"/>
      <c r="P202" s="30"/>
      <c r="Q202" s="30" t="s">
        <v>877</v>
      </c>
    </row>
    <row r="203" ht="16.5" customHeight="1">
      <c r="A203" s="2">
        <f>19/64</f>
        <v>0.296875</v>
      </c>
      <c r="C203" s="1">
        <v>0.830418999999984</v>
      </c>
      <c r="D203" s="18" t="s">
        <v>878</v>
      </c>
      <c r="E203" s="2"/>
      <c r="F203" s="1">
        <v>0.927592999999981</v>
      </c>
      <c r="H203" s="1">
        <v>0.914170999999983</v>
      </c>
      <c r="I203" s="1">
        <v>0.947877999999972</v>
      </c>
      <c r="J203" s="1" t="s">
        <v>879</v>
      </c>
      <c r="K203" s="29">
        <v>0.944294999999975</v>
      </c>
      <c r="L203" s="29">
        <v>0.956300999999968</v>
      </c>
      <c r="M203" s="28" t="s">
        <v>880</v>
      </c>
      <c r="N203" s="26"/>
      <c r="O203" s="26"/>
      <c r="P203" s="30"/>
      <c r="Q203" s="30" t="s">
        <v>881</v>
      </c>
    </row>
    <row r="204">
      <c r="A204" s="2">
        <f>5/16</f>
        <v>0.3125</v>
      </c>
      <c r="C204" s="1">
        <v>0.836375999999981</v>
      </c>
      <c r="D204" s="1" t="s">
        <v>882</v>
      </c>
      <c r="E204" s="2"/>
      <c r="F204" s="1">
        <v>0.93122699999998</v>
      </c>
      <c r="H204" s="1">
        <v>0.913023999999981</v>
      </c>
      <c r="I204" s="1">
        <v>0.951714999999972</v>
      </c>
      <c r="J204" s="1" t="s">
        <v>883</v>
      </c>
      <c r="K204" s="29">
        <v>0.943784999999973</v>
      </c>
      <c r="L204" s="29">
        <v>0.960579999999968</v>
      </c>
      <c r="M204" s="45" t="s">
        <v>884</v>
      </c>
      <c r="N204" s="28"/>
      <c r="O204" s="28" t="s">
        <v>885</v>
      </c>
      <c r="P204" s="30"/>
      <c r="Q204" s="30" t="s">
        <v>886</v>
      </c>
    </row>
    <row r="205">
      <c r="A205" s="13">
        <f>21/64</f>
        <v>0.328125</v>
      </c>
      <c r="B205" s="14"/>
      <c r="C205" s="9">
        <v>0.842100999999983</v>
      </c>
      <c r="D205" s="9" t="s">
        <v>887</v>
      </c>
      <c r="E205" s="14"/>
      <c r="F205" s="9">
        <v>0.934720999999978</v>
      </c>
      <c r="G205" s="14"/>
      <c r="H205" s="14"/>
      <c r="I205" s="9">
        <v>0.955461999999969</v>
      </c>
      <c r="J205" s="14"/>
      <c r="K205" s="46"/>
      <c r="L205" s="47">
        <v>0.964314999999967</v>
      </c>
      <c r="M205" s="48" t="s">
        <v>888</v>
      </c>
      <c r="N205" s="49"/>
      <c r="O205" s="49" t="s">
        <v>889</v>
      </c>
      <c r="P205" s="50"/>
      <c r="Q205" s="50" t="s">
        <v>890</v>
      </c>
    </row>
    <row r="206">
      <c r="A206" s="2">
        <f>11/32</f>
        <v>0.34375</v>
      </c>
      <c r="C206" s="1">
        <v>0.847058999999982</v>
      </c>
      <c r="F206" s="1">
        <v>0.937805999999977</v>
      </c>
      <c r="I206" s="1">
        <v>0.959497999999968</v>
      </c>
      <c r="K206" s="27"/>
      <c r="L206" s="29">
        <v>0.967693999999963</v>
      </c>
      <c r="M206" s="27"/>
      <c r="N206" s="26"/>
      <c r="O206" s="26"/>
      <c r="P206" s="30"/>
      <c r="Q206" s="30" t="s">
        <v>891</v>
      </c>
    </row>
    <row r="207">
      <c r="A207" s="2">
        <f>23/64</f>
        <v>0.359375</v>
      </c>
      <c r="C207" s="1">
        <v>0.851323999999982</v>
      </c>
      <c r="F207" s="1">
        <v>0.940569999999973</v>
      </c>
      <c r="I207" s="1">
        <v>0.962712999999967</v>
      </c>
      <c r="L207" s="1">
        <v>0.971024999999961</v>
      </c>
    </row>
    <row r="208">
      <c r="A208" s="2">
        <f>3/8</f>
        <v>0.375</v>
      </c>
      <c r="C208" s="1">
        <v>0.854883999999984</v>
      </c>
      <c r="F208" s="1">
        <v>0.943116999999975</v>
      </c>
      <c r="I208" s="1">
        <v>0.965799999999962</v>
      </c>
      <c r="L208" s="1">
        <v>0.97393499999996</v>
      </c>
    </row>
    <row r="209">
      <c r="A209" s="2">
        <f>25/64</f>
        <v>0.390625</v>
      </c>
      <c r="C209" s="1">
        <v>0.857806999999984</v>
      </c>
      <c r="F209" s="1">
        <v>0.945298999999976</v>
      </c>
      <c r="H209" s="30"/>
      <c r="I209" s="1">
        <v>0.968343999999961</v>
      </c>
      <c r="L209" s="1">
        <v>0.976693999999959</v>
      </c>
    </row>
    <row r="210">
      <c r="A210" s="2">
        <f>13/32</f>
        <v>0.40625</v>
      </c>
      <c r="C210" s="1">
        <v>0.860048999999983</v>
      </c>
      <c r="F210" s="1">
        <v>0.947071999999974</v>
      </c>
      <c r="H210" s="30"/>
      <c r="I210" s="1">
        <v>0.970949999999961</v>
      </c>
      <c r="L210" s="1">
        <v>0.978984999999956</v>
      </c>
    </row>
    <row r="211">
      <c r="A211" s="2">
        <f>27/64</f>
        <v>0.421875</v>
      </c>
      <c r="C211" s="1">
        <v>0.861675999999982</v>
      </c>
      <c r="F211" s="1">
        <v>0.948871999999973</v>
      </c>
      <c r="H211" s="30"/>
      <c r="I211" s="1">
        <v>0.973225999999959</v>
      </c>
      <c r="L211" s="1">
        <v>0.981049999999954</v>
      </c>
    </row>
    <row r="212">
      <c r="A212" s="2">
        <f>7/16</f>
        <v>0.4375</v>
      </c>
      <c r="C212" s="1">
        <v>0.862978999999983</v>
      </c>
      <c r="F212" s="1">
        <v>0.950085999999971</v>
      </c>
      <c r="H212" s="30"/>
      <c r="I212" s="1">
        <v>0.975244999999959</v>
      </c>
      <c r="L212" s="1">
        <v>0.982858999999952</v>
      </c>
    </row>
    <row r="213">
      <c r="A213" s="2">
        <f>29/64</f>
        <v>0.453125</v>
      </c>
      <c r="C213" s="1">
        <v>0.863514999999984</v>
      </c>
      <c r="F213" s="1">
        <v>0.950799999999973</v>
      </c>
      <c r="H213" s="30"/>
      <c r="I213" s="1">
        <v>0.977002999999957</v>
      </c>
      <c r="L213" s="1">
        <v>0.984454999999951</v>
      </c>
    </row>
    <row r="214">
      <c r="A214" s="2">
        <f>15/32</f>
        <v>0.46875</v>
      </c>
      <c r="C214" s="34">
        <v>0.863799999999981</v>
      </c>
      <c r="F214" s="34">
        <v>0.951314999999971</v>
      </c>
      <c r="H214" s="30"/>
      <c r="I214" s="1">
        <v>0.978478999999956</v>
      </c>
      <c r="L214" s="1">
        <v>0.985675999999952</v>
      </c>
    </row>
    <row r="215">
      <c r="A215" s="2">
        <f>31/64</f>
        <v>0.484375</v>
      </c>
      <c r="C215" s="1">
        <v>0.862830999999984</v>
      </c>
      <c r="F215" s="1">
        <v>0.951290999999971</v>
      </c>
      <c r="H215" s="30"/>
      <c r="I215" s="1">
        <v>0.979516999999953</v>
      </c>
      <c r="L215" s="1">
        <v>0.986686999999952</v>
      </c>
    </row>
    <row r="216">
      <c r="A216" s="2">
        <f>1/2</f>
        <v>0.5</v>
      </c>
      <c r="C216" s="1">
        <v>0.861470999999983</v>
      </c>
      <c r="F216" s="1"/>
      <c r="H216" s="30"/>
      <c r="I216" s="1">
        <v>0.980393999999953</v>
      </c>
      <c r="L216" s="1">
        <v>0.987480999999952</v>
      </c>
      <c r="N216" s="1">
        <v>0.989185999999952</v>
      </c>
      <c r="P216" s="1">
        <v>0.989607999999953</v>
      </c>
    </row>
    <row r="217">
      <c r="A217" s="2">
        <f>33/64</f>
        <v>0.515625</v>
      </c>
      <c r="F217" s="2"/>
      <c r="H217" s="30"/>
      <c r="I217" s="1">
        <v>0.981017999999954</v>
      </c>
      <c r="L217" s="1">
        <v>0.988015999999952</v>
      </c>
      <c r="N217" s="1">
        <v>0.989606999999952</v>
      </c>
      <c r="P217" s="1">
        <v>0.990154999999953</v>
      </c>
    </row>
    <row r="218">
      <c r="A218" s="2">
        <f>17/32</f>
        <v>0.53125</v>
      </c>
      <c r="I218" s="18">
        <v>0.981113999999952</v>
      </c>
      <c r="L218" s="1">
        <v>0.988316999999952</v>
      </c>
      <c r="N218" s="1">
        <v>0.98999999999995</v>
      </c>
      <c r="P218" s="1">
        <v>0.990498999999952</v>
      </c>
    </row>
    <row r="219">
      <c r="A219" s="2">
        <f>35/64</f>
        <v>0.546875</v>
      </c>
      <c r="I219" s="1">
        <v>0.980828999999951</v>
      </c>
      <c r="L219" s="18">
        <v>0.988333999999953</v>
      </c>
      <c r="N219" s="18">
        <v>0.990092999999952</v>
      </c>
      <c r="P219" s="18">
        <v>0.990612999999954</v>
      </c>
    </row>
    <row r="220">
      <c r="A220" s="2">
        <f>9/16</f>
        <v>0.5625</v>
      </c>
      <c r="L220" s="1">
        <v>0.98805799999995</v>
      </c>
      <c r="N220" s="1">
        <v>0.989979999999954</v>
      </c>
      <c r="P220" s="1">
        <v>0.990432999999952</v>
      </c>
    </row>
    <row r="221">
      <c r="A221" s="2">
        <f>37/64</f>
        <v>0.578125</v>
      </c>
      <c r="L221" s="1">
        <v>0.987474999999952</v>
      </c>
      <c r="N221" s="1">
        <v>0.989390999999952</v>
      </c>
      <c r="P221" s="1">
        <v>0.989999999999953</v>
      </c>
    </row>
    <row r="222">
      <c r="A222" s="2">
        <f>19/32</f>
        <v>0.59375</v>
      </c>
      <c r="L222" s="1">
        <v>0.986642999999951</v>
      </c>
      <c r="N222" s="1">
        <v>0.988668999999951</v>
      </c>
      <c r="P222" s="1">
        <v>0.989179999999953</v>
      </c>
    </row>
    <row r="223">
      <c r="A223" s="2">
        <f>39/64</f>
        <v>0.609375</v>
      </c>
      <c r="L223" s="1">
        <v>0.985248999999953</v>
      </c>
      <c r="N223" s="1">
        <v>0.987468999999951</v>
      </c>
      <c r="P223" s="1">
        <v>0.988016999999953</v>
      </c>
    </row>
    <row r="224">
      <c r="A224" s="2">
        <f>5/8</f>
        <v>0.625</v>
      </c>
      <c r="L224" s="1">
        <v>0.983223999999953</v>
      </c>
      <c r="N224" s="1">
        <v>0.985735999999953</v>
      </c>
      <c r="P224" s="1">
        <v>0.986360999999953</v>
      </c>
    </row>
    <row r="225">
      <c r="A225" s="2">
        <f>41/64</f>
        <v>0.640625</v>
      </c>
      <c r="L225" s="2"/>
    </row>
    <row r="226">
      <c r="A226" s="2">
        <f>21/32</f>
        <v>0.65625</v>
      </c>
      <c r="L226" s="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84</v>
      </c>
      <c r="B1" s="1">
        <v>2.0</v>
      </c>
      <c r="C1" s="1">
        <v>4.0</v>
      </c>
      <c r="D1" s="1">
        <v>8.0</v>
      </c>
      <c r="E1" s="1">
        <v>16.0</v>
      </c>
      <c r="F1" s="1">
        <v>32.0</v>
      </c>
      <c r="G1" s="1">
        <v>64.0</v>
      </c>
      <c r="H1" s="51" t="s">
        <v>84</v>
      </c>
      <c r="I1" s="1">
        <v>2.0</v>
      </c>
      <c r="J1" s="1">
        <v>4.0</v>
      </c>
      <c r="K1" s="1">
        <v>8.0</v>
      </c>
      <c r="L1" s="1">
        <v>16.0</v>
      </c>
      <c r="M1" s="1">
        <v>32.0</v>
      </c>
      <c r="N1" s="1">
        <v>64.0</v>
      </c>
      <c r="O1" s="51" t="s">
        <v>84</v>
      </c>
      <c r="P1" s="1">
        <v>2.0</v>
      </c>
      <c r="Q1" s="1">
        <v>4.0</v>
      </c>
      <c r="R1" s="1">
        <v>8.0</v>
      </c>
      <c r="S1" s="1">
        <v>16.0</v>
      </c>
      <c r="T1" s="1">
        <v>32.0</v>
      </c>
      <c r="U1" s="1">
        <v>64.0</v>
      </c>
      <c r="V1" s="1"/>
      <c r="W1" s="1"/>
      <c r="X1" s="2"/>
      <c r="Y1" s="2"/>
      <c r="Z1" s="2"/>
      <c r="AA1" s="2"/>
      <c r="AB1" s="2"/>
      <c r="AC1" s="2"/>
      <c r="AD1" s="2"/>
      <c r="AE1" s="2"/>
    </row>
    <row r="2">
      <c r="A2" s="1" t="s">
        <v>892</v>
      </c>
      <c r="B2" s="2"/>
      <c r="C2" s="2"/>
      <c r="D2" s="2"/>
      <c r="E2" s="2"/>
      <c r="F2" s="2"/>
      <c r="G2" s="2"/>
      <c r="H2" s="51" t="s">
        <v>893</v>
      </c>
      <c r="I2" s="2"/>
      <c r="J2" s="2"/>
      <c r="K2" s="2"/>
      <c r="L2" s="2"/>
      <c r="M2" s="2"/>
      <c r="N2" s="2"/>
      <c r="O2" s="51" t="s">
        <v>115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>
      <c r="A3" s="1">
        <v>0.0</v>
      </c>
      <c r="B3" s="1">
        <v>0.257567</v>
      </c>
      <c r="C3" s="1">
        <v>0.468929</v>
      </c>
      <c r="D3" s="1">
        <v>0.605342</v>
      </c>
      <c r="E3" s="1">
        <v>0.669423999999996</v>
      </c>
      <c r="F3" s="1">
        <v>0.687934999999993</v>
      </c>
      <c r="G3" s="1">
        <v>0.693428999999996</v>
      </c>
      <c r="H3" s="51">
        <v>0.0</v>
      </c>
      <c r="I3" s="1">
        <v>0.257133999999999</v>
      </c>
      <c r="J3" s="1">
        <v>0.468731</v>
      </c>
      <c r="K3" s="1">
        <v>0.605460999999997</v>
      </c>
      <c r="L3" s="1">
        <v>0.669589999999996</v>
      </c>
      <c r="M3" s="1">
        <v>0.687796999999997</v>
      </c>
      <c r="N3" s="1">
        <v>0.693428999999996</v>
      </c>
      <c r="O3" s="51">
        <v>0.0</v>
      </c>
      <c r="P3" s="1">
        <v>0.257130999999999</v>
      </c>
      <c r="Q3" s="1">
        <v>0.468671000000001</v>
      </c>
      <c r="R3" s="1">
        <v>0.605462999999996</v>
      </c>
      <c r="S3" s="1">
        <v>0.669602999999996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>
      <c r="A4" s="1">
        <f>7/64</f>
        <v>0.109375</v>
      </c>
      <c r="B4" s="1">
        <v>0.319417</v>
      </c>
      <c r="C4" s="1"/>
      <c r="D4" s="1"/>
      <c r="E4" s="2"/>
      <c r="F4" s="2"/>
      <c r="G4" s="2"/>
      <c r="H4" s="51">
        <f>16/64</f>
        <v>0.25</v>
      </c>
      <c r="I4" s="1">
        <v>0.432716999999997</v>
      </c>
      <c r="J4" s="1"/>
      <c r="K4" s="1"/>
      <c r="L4" s="2"/>
      <c r="M4" s="2"/>
      <c r="N4" s="2"/>
      <c r="O4" s="51">
        <f>16/64</f>
        <v>0.25</v>
      </c>
      <c r="P4" s="1">
        <v>0.479433999999999</v>
      </c>
      <c r="Q4" s="1">
        <v>0.724769999999996</v>
      </c>
      <c r="R4" s="1">
        <v>0.811467999999985</v>
      </c>
      <c r="S4" s="1">
        <v>0.845163999999977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>
      <c r="A5" s="2">
        <f>8/64</f>
        <v>0.125</v>
      </c>
      <c r="B5" s="34">
        <v>0.333282</v>
      </c>
      <c r="C5" s="1"/>
      <c r="D5" s="1"/>
      <c r="E5" s="2"/>
      <c r="F5" s="2"/>
      <c r="G5" s="2"/>
      <c r="H5" s="52">
        <f>17/64</f>
        <v>0.265625</v>
      </c>
      <c r="I5" s="1">
        <v>0.432716999999997</v>
      </c>
      <c r="J5" s="1"/>
      <c r="K5" s="1"/>
      <c r="L5" s="2"/>
      <c r="M5" s="2"/>
      <c r="N5" s="2"/>
      <c r="O5" s="52">
        <f>17/64</f>
        <v>0.265625</v>
      </c>
      <c r="P5" s="1">
        <v>0.479433999999999</v>
      </c>
      <c r="Q5" s="1">
        <v>0.735916999999995</v>
      </c>
      <c r="R5" s="1">
        <v>0.817408999999992</v>
      </c>
      <c r="S5" s="1">
        <v>0.855197999999978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>
      <c r="A6" s="2">
        <f>9/64</f>
        <v>0.140625</v>
      </c>
      <c r="B6" s="1">
        <v>0.333282</v>
      </c>
      <c r="C6" s="1"/>
      <c r="D6" s="2"/>
      <c r="E6" s="2"/>
      <c r="F6" s="2"/>
      <c r="G6" s="2"/>
      <c r="H6" s="52">
        <f>18/64</f>
        <v>0.28125</v>
      </c>
      <c r="I6" s="1">
        <v>0.443825999999999</v>
      </c>
      <c r="J6" s="1"/>
      <c r="K6" s="2"/>
      <c r="L6" s="2"/>
      <c r="M6" s="2"/>
      <c r="N6" s="2"/>
      <c r="O6" s="52">
        <f>18/64</f>
        <v>0.28125</v>
      </c>
      <c r="P6" s="1">
        <v>0.498575999999999</v>
      </c>
      <c r="Q6" s="1">
        <v>0.745402999999996</v>
      </c>
      <c r="R6" s="1">
        <v>0.829023999999984</v>
      </c>
      <c r="S6" s="1">
        <v>0.865349999999974</v>
      </c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>
      <c r="A7" s="1">
        <f>10/64</f>
        <v>0.15625</v>
      </c>
      <c r="B7" s="1">
        <v>0.333282</v>
      </c>
      <c r="C7" s="1">
        <v>0.585229</v>
      </c>
      <c r="D7" s="1">
        <v>0.705366999999992</v>
      </c>
      <c r="E7" s="2"/>
      <c r="F7" s="2"/>
      <c r="G7" s="2"/>
      <c r="H7" s="51">
        <f>19/64</f>
        <v>0.296875</v>
      </c>
      <c r="I7" s="1">
        <v>0.443825999999999</v>
      </c>
      <c r="J7" s="1"/>
      <c r="K7" s="2"/>
      <c r="L7" s="2"/>
      <c r="M7" s="2"/>
      <c r="N7" s="2"/>
      <c r="O7" s="51">
        <f>19/64</f>
        <v>0.296875</v>
      </c>
      <c r="P7" s="1">
        <v>0.498575999999999</v>
      </c>
      <c r="Q7" s="1">
        <v>0.745402999999996</v>
      </c>
      <c r="R7" s="1">
        <v>0.834620999999988</v>
      </c>
      <c r="S7" s="1">
        <v>0.874832999999973</v>
      </c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>
      <c r="A8" s="2">
        <f>11/64</f>
        <v>0.171875</v>
      </c>
      <c r="B8" s="1">
        <v>0.332409999999998</v>
      </c>
      <c r="C8" s="34">
        <v>0.588087999999998</v>
      </c>
      <c r="D8" s="1">
        <v>0.709118999999998</v>
      </c>
      <c r="E8" s="2"/>
      <c r="F8" s="2"/>
      <c r="G8" s="2"/>
      <c r="H8" s="52">
        <f>20/64</f>
        <v>0.3125</v>
      </c>
      <c r="I8" s="1">
        <v>0.443825999999999</v>
      </c>
      <c r="J8" s="1">
        <v>0.704349999999998</v>
      </c>
      <c r="K8" s="2"/>
      <c r="L8" s="2"/>
      <c r="M8" s="2"/>
      <c r="N8" s="2"/>
      <c r="O8" s="52">
        <f>20/64</f>
        <v>0.3125</v>
      </c>
      <c r="P8" s="1">
        <v>0.498575999999999</v>
      </c>
      <c r="Q8" s="1">
        <v>0.752914999999991</v>
      </c>
      <c r="R8" s="1">
        <v>0.844896999999985</v>
      </c>
      <c r="S8" s="1">
        <v>0.883508999999969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>
      <c r="A9" s="2">
        <f>12/64</f>
        <v>0.1875</v>
      </c>
      <c r="B9" s="1">
        <v>0.332409999999998</v>
      </c>
      <c r="C9" s="1">
        <v>0.586133000000001</v>
      </c>
      <c r="D9" s="34">
        <v>0.709570999999997</v>
      </c>
      <c r="E9" s="2"/>
      <c r="F9" s="2"/>
      <c r="G9" s="2"/>
      <c r="H9" s="53">
        <f>21/64</f>
        <v>0.328125</v>
      </c>
      <c r="I9" s="34">
        <v>0.449003</v>
      </c>
      <c r="J9" s="34">
        <v>0.706014999999997</v>
      </c>
      <c r="K9" s="2"/>
      <c r="L9" s="2"/>
      <c r="M9" s="2"/>
      <c r="N9" s="2"/>
      <c r="O9" s="52">
        <f>21/64</f>
        <v>0.328125</v>
      </c>
      <c r="P9" s="1">
        <v>0.507418999999998</v>
      </c>
      <c r="Q9" s="1">
        <v>0.757959999999992</v>
      </c>
      <c r="R9" s="1">
        <v>0.849273999999989</v>
      </c>
      <c r="S9" s="1">
        <v>0.891330999999966</v>
      </c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>
      <c r="A10" s="1">
        <f>13/64</f>
        <v>0.203125</v>
      </c>
      <c r="B10" s="1">
        <v>0.316065999999999</v>
      </c>
      <c r="C10" s="1">
        <v>0.581504999999998</v>
      </c>
      <c r="D10" s="1">
        <v>0.708640999999994</v>
      </c>
      <c r="E10" s="1">
        <v>0.761549999999992</v>
      </c>
      <c r="F10" s="1">
        <v>0.77723999999999</v>
      </c>
      <c r="G10" s="1">
        <v>0.78099299999999</v>
      </c>
      <c r="H10" s="52">
        <f>22/64</f>
        <v>0.34375</v>
      </c>
      <c r="I10" s="1">
        <v>0.449003</v>
      </c>
      <c r="J10" s="1">
        <v>0.705945999999995</v>
      </c>
      <c r="K10" s="1">
        <v>0.824802999999987</v>
      </c>
      <c r="L10" s="2"/>
      <c r="M10" s="2"/>
      <c r="N10" s="2"/>
      <c r="O10" s="52">
        <f>22/64</f>
        <v>0.34375</v>
      </c>
      <c r="P10" s="1">
        <v>0.507418999999998</v>
      </c>
      <c r="Q10" s="1">
        <v>0.760607999999992</v>
      </c>
      <c r="R10" s="1">
        <v>0.858118999999979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>
      <c r="A11" s="2">
        <f>14/64</f>
        <v>0.21875</v>
      </c>
      <c r="B11" s="1">
        <v>0.316065999999999</v>
      </c>
      <c r="C11" s="1">
        <v>0.581504999999998</v>
      </c>
      <c r="D11" s="1">
        <v>0.707329999999993</v>
      </c>
      <c r="E11" s="34">
        <v>0.762223999999994</v>
      </c>
      <c r="F11" s="1">
        <v>0.779024999999991</v>
      </c>
      <c r="G11" s="1">
        <v>0.783608999999989</v>
      </c>
      <c r="H11" s="52">
        <f>23/64</f>
        <v>0.359375</v>
      </c>
      <c r="I11" s="4">
        <v>0.449003</v>
      </c>
      <c r="J11" s="1">
        <v>0.705945999999995</v>
      </c>
      <c r="K11" s="1">
        <v>0.827541999999986</v>
      </c>
      <c r="L11" s="2"/>
      <c r="M11" s="2"/>
      <c r="N11" s="2"/>
      <c r="O11" s="52">
        <f>23/64</f>
        <v>0.359375</v>
      </c>
      <c r="P11" s="1">
        <v>0.507418999999998</v>
      </c>
      <c r="Q11" s="1">
        <v>0.760607999999992</v>
      </c>
      <c r="R11" s="1">
        <v>0.861940999999982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>
      <c r="A12" s="2">
        <f>15/64</f>
        <v>0.234375</v>
      </c>
      <c r="B12" s="1">
        <v>0.316065999999999</v>
      </c>
      <c r="C12" s="1">
        <v>0.571982999999997</v>
      </c>
      <c r="D12" s="2"/>
      <c r="E12" s="4">
        <v>0.761864999999992</v>
      </c>
      <c r="F12" s="34">
        <v>0.77992499999999</v>
      </c>
      <c r="G12" s="34">
        <v>0.784252999999992</v>
      </c>
      <c r="H12" s="52">
        <f>24/64</f>
        <v>0.375</v>
      </c>
      <c r="I12" s="1">
        <v>0.448581999999998</v>
      </c>
      <c r="J12" s="1">
        <v>0.703544999999995</v>
      </c>
      <c r="K12" s="1">
        <v>0.831518999999992</v>
      </c>
      <c r="L12" s="2"/>
      <c r="M12" s="2"/>
      <c r="N12" s="2"/>
      <c r="O12" s="52">
        <f>24/64</f>
        <v>0.375</v>
      </c>
      <c r="P12" s="34">
        <v>0.508802999999997</v>
      </c>
      <c r="Q12" s="34">
        <v>0.761298999999995</v>
      </c>
      <c r="R12" s="1">
        <v>0.868790999999978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>
      <c r="A13" s="1">
        <f>16/64</f>
        <v>0.25</v>
      </c>
      <c r="B13" s="1">
        <v>0.284916999999999</v>
      </c>
      <c r="C13" s="1">
        <v>0.557498</v>
      </c>
      <c r="D13" s="1"/>
      <c r="E13" s="1">
        <v>0.758229999999991</v>
      </c>
      <c r="F13" s="1">
        <v>0.778235999999991</v>
      </c>
      <c r="G13" s="1">
        <v>0.783430999999993</v>
      </c>
      <c r="H13" s="52">
        <f>25/64</f>
        <v>0.390625</v>
      </c>
      <c r="I13" s="1">
        <v>0.448581999999998</v>
      </c>
      <c r="J13" s="2"/>
      <c r="K13" s="1">
        <v>0.834905999999986</v>
      </c>
      <c r="L13" s="2"/>
      <c r="M13" s="2"/>
      <c r="N13" s="2"/>
      <c r="O13" s="52">
        <f>25/64</f>
        <v>0.390625</v>
      </c>
      <c r="P13" s="1">
        <v>0.508802999999997</v>
      </c>
      <c r="Q13" s="1">
        <v>0.760825999999991</v>
      </c>
      <c r="R13" s="1">
        <v>0.873896999999978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>
      <c r="A14" s="2">
        <f>17/64</f>
        <v>0.265625</v>
      </c>
      <c r="B14" s="1">
        <v>0.284916999999999</v>
      </c>
      <c r="C14" s="1"/>
      <c r="D14" s="2"/>
      <c r="E14" s="2"/>
      <c r="F14" s="1">
        <v>0.775078999999993</v>
      </c>
      <c r="G14" s="1">
        <v>0.781162999999993</v>
      </c>
      <c r="H14" s="54">
        <f>26/64</f>
        <v>0.40625</v>
      </c>
      <c r="I14" s="29">
        <v>0.443002</v>
      </c>
      <c r="J14" s="29"/>
      <c r="K14" s="29">
        <v>0.835777999999987</v>
      </c>
      <c r="L14" s="29">
        <v>0.892653999999971</v>
      </c>
      <c r="M14" s="1">
        <v>0.906936999999965</v>
      </c>
      <c r="N14" s="1">
        <v>0.910381999999968</v>
      </c>
      <c r="O14" s="54">
        <f>26/64</f>
        <v>0.40625</v>
      </c>
      <c r="P14" s="1">
        <v>0.501990999999996</v>
      </c>
      <c r="Q14" s="29">
        <v>0.758490999999993</v>
      </c>
      <c r="R14" s="29">
        <v>0.876358999999973</v>
      </c>
      <c r="S14" s="30"/>
      <c r="T14" s="1"/>
      <c r="U14" s="1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>
      <c r="A15" s="2">
        <f>18/64</f>
        <v>0.28125</v>
      </c>
      <c r="B15" s="1">
        <v>0.238990999999998</v>
      </c>
      <c r="C15" s="1"/>
      <c r="D15" s="2"/>
      <c r="E15" s="2"/>
      <c r="F15" s="2"/>
      <c r="G15" s="2"/>
      <c r="H15" s="54">
        <f>27/64</f>
        <v>0.421875</v>
      </c>
      <c r="I15" s="29">
        <v>0.443002</v>
      </c>
      <c r="J15" s="29"/>
      <c r="K15" s="29">
        <v>0.837259999999987</v>
      </c>
      <c r="L15" s="55">
        <v>0.893687999999973</v>
      </c>
      <c r="M15" s="1">
        <v>0.908082999999968</v>
      </c>
      <c r="N15" s="1">
        <v>0.911731999999963</v>
      </c>
      <c r="O15" s="54">
        <f>27/64</f>
        <v>0.421875</v>
      </c>
      <c r="P15" s="1">
        <v>0.501990999999996</v>
      </c>
      <c r="Q15" s="2"/>
      <c r="R15" s="1">
        <v>0.879240999999973</v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>
      <c r="A16" s="1">
        <f>19/64</f>
        <v>0.296875</v>
      </c>
      <c r="B16" s="1">
        <v>0.238990999999998</v>
      </c>
      <c r="C16" s="1"/>
      <c r="D16" s="2"/>
      <c r="E16" s="2"/>
      <c r="F16" s="2"/>
      <c r="G16" s="2"/>
      <c r="H16" s="56">
        <f>28/64</f>
        <v>0.4375</v>
      </c>
      <c r="I16" s="29">
        <v>0.443002</v>
      </c>
      <c r="J16" s="29"/>
      <c r="K16" s="55">
        <v>0.837513999999987</v>
      </c>
      <c r="L16" s="29">
        <v>0.893630999999973</v>
      </c>
      <c r="M16" s="34">
        <v>0.908592999999969</v>
      </c>
      <c r="N16" s="34">
        <v>0.912291999999968</v>
      </c>
      <c r="O16" s="54">
        <f>28/64</f>
        <v>0.4375</v>
      </c>
      <c r="P16" s="29">
        <v>0.501990999999996</v>
      </c>
      <c r="Q16" s="2"/>
      <c r="R16" s="4">
        <v>0.880725999999977</v>
      </c>
      <c r="S16" s="29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>
      <c r="A17" s="2">
        <f>20/64</f>
        <v>0.3125</v>
      </c>
      <c r="B17" s="1">
        <v>0.238990999999998</v>
      </c>
      <c r="C17" s="1"/>
      <c r="D17" s="29"/>
      <c r="E17" s="29"/>
      <c r="F17" s="2"/>
      <c r="G17" s="2"/>
      <c r="H17" s="54">
        <f>29/64</f>
        <v>0.453125</v>
      </c>
      <c r="I17" s="30"/>
      <c r="J17" s="29"/>
      <c r="K17" s="29">
        <v>0.837229999999986</v>
      </c>
      <c r="L17" s="29">
        <v>0.89349699999997</v>
      </c>
      <c r="M17" s="1">
        <v>0.908299999999969</v>
      </c>
      <c r="N17" s="1">
        <v>0.911927999999967</v>
      </c>
      <c r="O17" s="54">
        <f>29/64</f>
        <v>0.453125</v>
      </c>
      <c r="P17" s="1">
        <v>0.488838999999998</v>
      </c>
      <c r="Q17" s="2"/>
      <c r="R17" s="4">
        <v>0.881332999999976</v>
      </c>
      <c r="S17" s="1">
        <v>0.927812999999958</v>
      </c>
      <c r="T17" s="1">
        <v>0.93951499999995</v>
      </c>
      <c r="U17" s="1">
        <v>0.942428999999951</v>
      </c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>
      <c r="A18" s="2">
        <f>21/64</f>
        <v>0.328125</v>
      </c>
      <c r="B18" s="4">
        <v>0.175855999999993</v>
      </c>
      <c r="C18" s="1"/>
      <c r="D18" s="1"/>
      <c r="E18" s="1"/>
      <c r="F18" s="1"/>
      <c r="G18" s="2"/>
      <c r="H18" s="51">
        <f>30/64</f>
        <v>0.46875</v>
      </c>
      <c r="I18" s="1"/>
      <c r="J18" s="1"/>
      <c r="K18" s="1">
        <v>0.83646999999999</v>
      </c>
      <c r="L18" s="1"/>
      <c r="M18" s="1"/>
      <c r="N18" s="2"/>
      <c r="O18" s="51">
        <f>30/64</f>
        <v>0.46875</v>
      </c>
      <c r="P18" s="1">
        <v>0.488838999999998</v>
      </c>
      <c r="Q18" s="1"/>
      <c r="R18" s="34">
        <v>0.881367999999975</v>
      </c>
      <c r="S18" s="34">
        <v>0.927981999999961</v>
      </c>
      <c r="T18" s="34">
        <v>0.939834999999951</v>
      </c>
      <c r="U18" s="34">
        <v>0.942827999999947</v>
      </c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>
      <c r="A19" s="2">
        <f>22/64</f>
        <v>0.34375</v>
      </c>
      <c r="B19" s="1">
        <v>0.175855999999993</v>
      </c>
      <c r="C19" s="1"/>
      <c r="D19" s="1"/>
      <c r="E19" s="1"/>
      <c r="F19" s="1"/>
      <c r="G19" s="1"/>
      <c r="H19" s="51"/>
      <c r="I19" s="1"/>
      <c r="J19" s="1"/>
      <c r="K19" s="1"/>
      <c r="L19" s="1"/>
      <c r="M19" s="1"/>
      <c r="N19" s="1"/>
      <c r="O19" s="51">
        <f>31/64</f>
        <v>0.484375</v>
      </c>
      <c r="P19" s="1"/>
      <c r="Q19" s="1"/>
      <c r="R19" s="1">
        <v>0.878782999999975</v>
      </c>
      <c r="S19" s="1">
        <v>0.927209999999962</v>
      </c>
      <c r="T19" s="1">
        <v>0.939066999999953</v>
      </c>
      <c r="U19" s="1">
        <v>0.942088999999948</v>
      </c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>
      <c r="A20" s="2">
        <f>23/64</f>
        <v>0.359375</v>
      </c>
      <c r="B20" s="4">
        <v>0.175855999999993</v>
      </c>
      <c r="C20" s="30"/>
      <c r="D20" s="29"/>
      <c r="E20" s="30"/>
      <c r="F20" s="1"/>
      <c r="G20" s="1"/>
      <c r="H20" s="54"/>
      <c r="I20" s="29"/>
      <c r="J20" s="29"/>
      <c r="K20" s="29"/>
      <c r="L20" s="30"/>
      <c r="M20" s="1"/>
      <c r="N20" s="1"/>
      <c r="O20" s="54">
        <f>32/64</f>
        <v>0.5</v>
      </c>
      <c r="P20" s="29"/>
      <c r="Q20" s="29"/>
      <c r="R20" s="29"/>
      <c r="S20" s="30"/>
      <c r="T20" s="1"/>
      <c r="U20" s="1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>
      <c r="A21" s="1" t="s">
        <v>894</v>
      </c>
      <c r="B21" s="1">
        <v>0.170901999999995</v>
      </c>
      <c r="C21" s="1">
        <v>0.381853999999998</v>
      </c>
      <c r="D21" s="1">
        <v>0.625656999999999</v>
      </c>
      <c r="E21" s="1">
        <v>0.838783999999991</v>
      </c>
      <c r="F21" s="1">
        <v>0.961032999999938</v>
      </c>
      <c r="G21" s="1">
        <v>0.995089999999953</v>
      </c>
      <c r="H21" s="51" t="s">
        <v>894</v>
      </c>
      <c r="I21" s="1">
        <v>0.170901999999995</v>
      </c>
      <c r="J21" s="1">
        <v>0.381853999999998</v>
      </c>
      <c r="K21" s="1">
        <v>0.625656999999999</v>
      </c>
      <c r="L21" s="1">
        <v>0.838783999999991</v>
      </c>
      <c r="M21" s="1">
        <v>0.961032999999938</v>
      </c>
      <c r="N21" s="1">
        <v>0.995089999999953</v>
      </c>
      <c r="O21" s="51" t="s">
        <v>894</v>
      </c>
      <c r="P21" s="1">
        <v>0.170901999999995</v>
      </c>
      <c r="Q21" s="1">
        <v>0.381853999999998</v>
      </c>
      <c r="R21" s="1">
        <v>0.625656999999999</v>
      </c>
      <c r="S21" s="1">
        <v>0.838783999999991</v>
      </c>
      <c r="T21" s="1">
        <v>0.961032999999938</v>
      </c>
      <c r="U21" s="1">
        <v>0.995089999999953</v>
      </c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>
      <c r="A22" s="1"/>
      <c r="B22" s="1"/>
      <c r="C22" s="1"/>
      <c r="D22" s="1"/>
      <c r="E22" s="35">
        <v>0.746722999999993</v>
      </c>
      <c r="F22" s="34">
        <v>0.78586199999999</v>
      </c>
      <c r="G22" s="34">
        <v>0.79737399999999</v>
      </c>
      <c r="H22" s="51"/>
      <c r="I22" s="1"/>
      <c r="J22" s="1"/>
      <c r="K22" s="18">
        <v>0.692066999999992</v>
      </c>
      <c r="L22" s="18">
        <v>0.890583999999974</v>
      </c>
      <c r="M22" s="34">
        <v>0.941366999999951</v>
      </c>
      <c r="N22" s="34">
        <v>0.952671999999943</v>
      </c>
      <c r="O22" s="51"/>
      <c r="P22" s="1"/>
      <c r="Q22" s="1"/>
      <c r="R22" s="18">
        <v>0.764041999999996</v>
      </c>
      <c r="S22" s="34">
        <v>0.928198999999951</v>
      </c>
      <c r="T22" s="34">
        <v>0.966279999999937</v>
      </c>
      <c r="U22" s="34">
        <v>0.974179999999941</v>
      </c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>
      <c r="A23" s="57" t="s">
        <v>85</v>
      </c>
      <c r="B23" s="57">
        <v>2.0</v>
      </c>
      <c r="C23" s="57">
        <v>4.0</v>
      </c>
      <c r="D23" s="57">
        <v>8.0</v>
      </c>
      <c r="E23" s="57">
        <v>16.0</v>
      </c>
      <c r="F23" s="57">
        <v>32.0</v>
      </c>
      <c r="G23" s="57">
        <v>64.0</v>
      </c>
      <c r="H23" s="58" t="s">
        <v>85</v>
      </c>
      <c r="I23" s="57">
        <v>2.0</v>
      </c>
      <c r="J23" s="57">
        <v>4.0</v>
      </c>
      <c r="K23" s="57">
        <v>8.0</v>
      </c>
      <c r="L23" s="57">
        <v>16.0</v>
      </c>
      <c r="M23" s="57">
        <v>32.0</v>
      </c>
      <c r="N23" s="57">
        <v>64.0</v>
      </c>
      <c r="O23" s="58" t="s">
        <v>85</v>
      </c>
      <c r="P23" s="57">
        <v>2.0</v>
      </c>
      <c r="Q23" s="57">
        <v>4.0</v>
      </c>
      <c r="R23" s="57">
        <v>8.0</v>
      </c>
      <c r="S23" s="57">
        <v>16.0</v>
      </c>
      <c r="T23" s="57">
        <v>32.0</v>
      </c>
      <c r="U23" s="57">
        <v>64.0</v>
      </c>
      <c r="V23" s="1"/>
      <c r="W23" s="1">
        <v>64.0</v>
      </c>
      <c r="X23" s="2"/>
      <c r="Y23" s="1">
        <v>32.0</v>
      </c>
      <c r="Z23" s="2"/>
      <c r="AA23" s="1">
        <v>16.0</v>
      </c>
      <c r="AB23" s="1"/>
      <c r="AC23" s="1">
        <v>8.0</v>
      </c>
      <c r="AD23" s="2"/>
      <c r="AE23" s="2"/>
    </row>
    <row r="24">
      <c r="A24" s="1" t="s">
        <v>892</v>
      </c>
      <c r="B24" s="2"/>
      <c r="C24" s="2"/>
      <c r="D24" s="2"/>
      <c r="E24" s="2"/>
      <c r="F24" s="2"/>
      <c r="G24" s="2"/>
      <c r="H24" s="51" t="s">
        <v>893</v>
      </c>
      <c r="I24" s="2"/>
      <c r="J24" s="2"/>
      <c r="K24" s="2"/>
      <c r="L24" s="2"/>
      <c r="M24" s="2"/>
      <c r="N24" s="2"/>
      <c r="O24" s="51" t="s">
        <v>115</v>
      </c>
      <c r="P24" s="2"/>
      <c r="Q24" s="2"/>
      <c r="R24" s="2"/>
      <c r="S24" s="2"/>
      <c r="T24" s="2"/>
      <c r="U24" s="2"/>
      <c r="V24" s="41"/>
      <c r="W24" s="4"/>
      <c r="X24" s="4"/>
      <c r="Y24" s="4"/>
      <c r="Z24" s="4"/>
      <c r="AA24" s="2"/>
      <c r="AB24" s="2"/>
      <c r="AC24" s="2"/>
      <c r="AD24" s="2"/>
      <c r="AE24" s="2"/>
    </row>
    <row r="25">
      <c r="A25" s="1">
        <v>0.0</v>
      </c>
      <c r="B25" s="1">
        <v>0.336872</v>
      </c>
      <c r="C25" s="1">
        <v>0.550602000000001</v>
      </c>
      <c r="D25" s="1">
        <v>0.665423999999994</v>
      </c>
      <c r="E25" s="1">
        <v>0.708059999999998</v>
      </c>
      <c r="F25" s="1">
        <v>0.721038999999992</v>
      </c>
      <c r="G25" s="1"/>
      <c r="H25" s="51">
        <v>0.0</v>
      </c>
      <c r="I25" s="1"/>
      <c r="J25" s="1"/>
      <c r="K25" s="1"/>
      <c r="L25" s="1"/>
      <c r="M25" s="1"/>
      <c r="N25" s="1"/>
      <c r="O25" s="51">
        <v>0.0</v>
      </c>
      <c r="P25" s="1"/>
      <c r="Q25" s="1"/>
      <c r="R25" s="1"/>
      <c r="S25" s="1"/>
      <c r="T25" s="2"/>
      <c r="U25" s="2"/>
      <c r="V25" s="41"/>
      <c r="W25" s="4"/>
      <c r="X25" s="25"/>
      <c r="Y25" s="4"/>
      <c r="Z25" s="4"/>
      <c r="AA25" s="2"/>
      <c r="AB25" s="2"/>
      <c r="AC25" s="2"/>
      <c r="AD25" s="2"/>
      <c r="AE25" s="2"/>
    </row>
    <row r="26">
      <c r="A26" s="1">
        <f>10/64</f>
        <v>0.15625</v>
      </c>
      <c r="B26" s="1"/>
      <c r="C26" s="1"/>
      <c r="D26" s="1"/>
      <c r="E26" s="2"/>
      <c r="F26" s="2"/>
      <c r="G26" s="2"/>
      <c r="H26" s="53">
        <f>21/64</f>
        <v>0.328125</v>
      </c>
      <c r="I26" s="4">
        <v>0.560056</v>
      </c>
      <c r="J26" s="1"/>
      <c r="K26" s="2"/>
      <c r="L26" s="2"/>
      <c r="M26" s="2"/>
      <c r="N26" s="2"/>
      <c r="O26" s="52">
        <f>21/64</f>
        <v>0.328125</v>
      </c>
      <c r="P26" s="1"/>
      <c r="Q26" s="1"/>
      <c r="R26" s="1"/>
      <c r="S26" s="1"/>
      <c r="T26" s="2"/>
      <c r="U26" s="2"/>
      <c r="V26" s="41">
        <f>5/64</f>
        <v>0.078125</v>
      </c>
      <c r="W26" s="4"/>
      <c r="X26" s="4"/>
      <c r="Y26" s="41"/>
      <c r="Z26" s="41"/>
      <c r="AA26" s="2"/>
      <c r="AB26" s="2"/>
      <c r="AC26" s="1">
        <v>-1.7</v>
      </c>
      <c r="AD26" s="1">
        <v>0.726031999999993</v>
      </c>
      <c r="AE26" s="2"/>
    </row>
    <row r="27">
      <c r="A27" s="2">
        <f>11/64</f>
        <v>0.171875</v>
      </c>
      <c r="B27" s="4">
        <v>0.453674</v>
      </c>
      <c r="C27" s="4"/>
      <c r="D27" s="4"/>
      <c r="E27" s="41"/>
      <c r="F27" s="41"/>
      <c r="G27" s="41"/>
      <c r="H27" s="52">
        <f>22/64</f>
        <v>0.34375</v>
      </c>
      <c r="I27" s="1">
        <v>0.561455999999997</v>
      </c>
      <c r="J27" s="1"/>
      <c r="K27" s="1"/>
      <c r="L27" s="2"/>
      <c r="M27" s="2"/>
      <c r="N27" s="2"/>
      <c r="O27" s="52">
        <f>22/64</f>
        <v>0.34375</v>
      </c>
      <c r="P27" s="1"/>
      <c r="Q27" s="1"/>
      <c r="R27" s="1"/>
      <c r="S27" s="1"/>
      <c r="T27" s="2"/>
      <c r="U27" s="2"/>
      <c r="V27" s="41">
        <f>6/64</f>
        <v>0.09375</v>
      </c>
      <c r="W27" s="4"/>
      <c r="X27" s="4"/>
      <c r="Y27" s="41"/>
      <c r="Z27" s="41"/>
      <c r="AA27" s="2"/>
      <c r="AB27" s="2"/>
      <c r="AC27" s="1">
        <v>-1.3</v>
      </c>
      <c r="AD27" s="34">
        <v>0.726046999999999</v>
      </c>
      <c r="AE27" s="2"/>
    </row>
    <row r="28">
      <c r="A28" s="2">
        <f>12/64</f>
        <v>0.1875</v>
      </c>
      <c r="B28" s="1">
        <v>0.462207</v>
      </c>
      <c r="C28" s="4"/>
      <c r="D28" s="41"/>
      <c r="E28" s="41"/>
      <c r="F28" s="41"/>
      <c r="G28" s="41"/>
      <c r="H28" s="52">
        <f>23/64</f>
        <v>0.359375</v>
      </c>
      <c r="I28" s="4">
        <v>0.561455999999997</v>
      </c>
      <c r="J28" s="1">
        <v>0.781043999999991</v>
      </c>
      <c r="K28" s="2"/>
      <c r="L28" s="2"/>
      <c r="M28" s="2"/>
      <c r="N28" s="2"/>
      <c r="O28" s="52">
        <f>23/64</f>
        <v>0.359375</v>
      </c>
      <c r="P28" s="1"/>
      <c r="Q28" s="1"/>
      <c r="R28" s="1"/>
      <c r="S28" s="1"/>
      <c r="T28" s="2"/>
      <c r="U28" s="2"/>
      <c r="V28" s="41">
        <f>7/64</f>
        <v>0.109375</v>
      </c>
      <c r="W28" s="41"/>
      <c r="X28" s="41"/>
      <c r="Y28" s="41"/>
      <c r="Z28" s="41"/>
      <c r="AA28" s="1">
        <v>-1.5</v>
      </c>
      <c r="AB28" s="1">
        <v>0.807503999999984</v>
      </c>
      <c r="AC28" s="1">
        <v>-1.0</v>
      </c>
      <c r="AD28" s="1">
        <v>0.720817999999995</v>
      </c>
      <c r="AE28" s="2"/>
    </row>
    <row r="29">
      <c r="A29" s="1">
        <f>13/64</f>
        <v>0.203125</v>
      </c>
      <c r="B29" s="1">
        <v>0.468381999999997</v>
      </c>
      <c r="C29" s="4"/>
      <c r="D29" s="4"/>
      <c r="E29" s="41"/>
      <c r="F29" s="41"/>
      <c r="G29" s="41"/>
      <c r="H29" s="52">
        <f>24/64</f>
        <v>0.375</v>
      </c>
      <c r="I29" s="34">
        <v>0.562565999999999</v>
      </c>
      <c r="J29" s="34">
        <v>0.781045999999989</v>
      </c>
      <c r="K29" s="1">
        <v>0.868868999999978</v>
      </c>
      <c r="L29" s="2"/>
      <c r="M29" s="2"/>
      <c r="N29" s="2"/>
      <c r="O29" s="52">
        <f>24/64</f>
        <v>0.375</v>
      </c>
      <c r="P29" s="25"/>
      <c r="Q29" s="25"/>
      <c r="R29" s="4"/>
      <c r="S29" s="1"/>
      <c r="T29" s="2"/>
      <c r="U29" s="2"/>
      <c r="V29" s="2">
        <f>8/64</f>
        <v>0.125</v>
      </c>
      <c r="W29" s="1">
        <v>-1.2</v>
      </c>
      <c r="X29" s="1">
        <v>0.84230999999998</v>
      </c>
      <c r="Y29" s="1">
        <v>-1.2</v>
      </c>
      <c r="Z29" s="1">
        <v>0.835428999999982</v>
      </c>
      <c r="AA29" s="1">
        <v>-1.2</v>
      </c>
      <c r="AB29" s="34">
        <v>0.808327999999989</v>
      </c>
      <c r="AC29" s="2"/>
      <c r="AD29" s="2"/>
      <c r="AE29" s="2"/>
    </row>
    <row r="30">
      <c r="A30" s="2">
        <f>14/64</f>
        <v>0.21875</v>
      </c>
      <c r="B30" s="1">
        <v>0.471970999999997</v>
      </c>
      <c r="C30" s="4">
        <v>0.691092999999997</v>
      </c>
      <c r="D30" s="4"/>
      <c r="E30" s="41"/>
      <c r="F30" s="41"/>
      <c r="G30" s="41"/>
      <c r="H30" s="52">
        <f>25/64</f>
        <v>0.390625</v>
      </c>
      <c r="I30" s="1">
        <v>0.560615999999999</v>
      </c>
      <c r="J30" s="1">
        <v>0.780062999999987</v>
      </c>
      <c r="K30" s="1">
        <v>0.871718999999981</v>
      </c>
      <c r="L30" s="2"/>
      <c r="M30" s="2"/>
      <c r="N30" s="2"/>
      <c r="O30" s="52">
        <f>25/64</f>
        <v>0.390625</v>
      </c>
      <c r="P30" s="1">
        <v>0.643129999999999</v>
      </c>
      <c r="Q30" s="1"/>
      <c r="R30" s="1"/>
      <c r="S30" s="1"/>
      <c r="T30" s="2"/>
      <c r="U30" s="2"/>
      <c r="V30" s="2">
        <f>9/64</f>
        <v>0.140625</v>
      </c>
      <c r="W30" s="1">
        <v>-1.0</v>
      </c>
      <c r="X30" s="34">
        <v>0.84447699999998</v>
      </c>
      <c r="Y30" s="1">
        <v>-1.0</v>
      </c>
      <c r="Z30" s="34">
        <v>0.837061999999982</v>
      </c>
      <c r="AA30" s="1">
        <v>-1.0</v>
      </c>
      <c r="AB30" s="1">
        <v>0.806182999999987</v>
      </c>
      <c r="AC30" s="2"/>
      <c r="AD30" s="2"/>
      <c r="AE30" s="2"/>
    </row>
    <row r="31">
      <c r="A31" s="2">
        <f>15/64</f>
        <v>0.234375</v>
      </c>
      <c r="B31" s="34">
        <v>0.473066000000002</v>
      </c>
      <c r="C31" s="34">
        <v>0.692502999999997</v>
      </c>
      <c r="D31" s="4">
        <v>0.781429999999989</v>
      </c>
      <c r="E31" s="41"/>
      <c r="F31" s="41"/>
      <c r="G31" s="41"/>
      <c r="H31" s="54">
        <f>26/64</f>
        <v>0.40625</v>
      </c>
      <c r="I31" s="29"/>
      <c r="J31" s="29"/>
      <c r="K31" s="29">
        <v>0.873819999999977</v>
      </c>
      <c r="L31" s="2"/>
      <c r="M31" s="2"/>
      <c r="N31" s="2"/>
      <c r="O31" s="54">
        <f>26/64</f>
        <v>0.40625</v>
      </c>
      <c r="P31" s="34">
        <v>0.64365</v>
      </c>
      <c r="Q31" s="29">
        <v>0.839191999999982</v>
      </c>
      <c r="R31" s="29"/>
      <c r="S31" s="1"/>
      <c r="T31" s="2"/>
      <c r="U31" s="2"/>
      <c r="V31" s="2">
        <f>10/64</f>
        <v>0.15625</v>
      </c>
      <c r="W31" s="1">
        <v>-0.8</v>
      </c>
      <c r="X31" s="1">
        <v>0.843658999999982</v>
      </c>
      <c r="Y31" s="1">
        <v>-0.8</v>
      </c>
      <c r="Z31" s="1">
        <v>0.835894999999982</v>
      </c>
      <c r="AA31" s="2"/>
      <c r="AB31" s="2"/>
      <c r="AC31" s="2"/>
      <c r="AD31" s="2"/>
      <c r="AE31" s="2"/>
    </row>
    <row r="32">
      <c r="A32" s="1">
        <f>16/64</f>
        <v>0.25</v>
      </c>
      <c r="B32" s="1">
        <v>0.470574</v>
      </c>
      <c r="C32" s="4">
        <v>0.691190999999996</v>
      </c>
      <c r="D32" s="4">
        <v>0.78401999999999</v>
      </c>
      <c r="E32" s="4"/>
      <c r="F32" s="4"/>
      <c r="G32" s="4"/>
      <c r="H32" s="54">
        <f>27/64</f>
        <v>0.421875</v>
      </c>
      <c r="I32" s="29"/>
      <c r="J32" s="29"/>
      <c r="K32" s="29">
        <v>0.875076999999979</v>
      </c>
      <c r="L32" s="2"/>
      <c r="M32" s="2"/>
      <c r="N32" s="2"/>
      <c r="O32" s="54">
        <f>27/64</f>
        <v>0.421875</v>
      </c>
      <c r="P32" s="1">
        <v>0.642491999999999</v>
      </c>
      <c r="Q32" s="1">
        <v>0.841225999999985</v>
      </c>
      <c r="R32" s="1"/>
      <c r="S32" s="2"/>
      <c r="T32" s="2"/>
      <c r="U32" s="2"/>
      <c r="V32" s="2">
        <f>11/64</f>
        <v>0.171875</v>
      </c>
      <c r="W32" s="1">
        <v>-0.6</v>
      </c>
      <c r="X32" s="1">
        <v>0.839985999999983</v>
      </c>
      <c r="Y32" s="2"/>
      <c r="Z32" s="2"/>
      <c r="AA32" s="2"/>
      <c r="AB32" s="2"/>
      <c r="AC32" s="2"/>
      <c r="AD32" s="2"/>
      <c r="AE32" s="2"/>
    </row>
    <row r="33">
      <c r="A33" s="2">
        <f>17/64</f>
        <v>0.265625</v>
      </c>
      <c r="B33" s="1">
        <v>0.466613000000001</v>
      </c>
      <c r="C33" s="4">
        <v>0.689927999999997</v>
      </c>
      <c r="D33" s="34">
        <v>0.784951999999988</v>
      </c>
      <c r="E33" s="4">
        <v>0.816636999999989</v>
      </c>
      <c r="F33" s="4"/>
      <c r="G33" s="4"/>
      <c r="H33" s="56">
        <f>28/64</f>
        <v>0.4375</v>
      </c>
      <c r="I33" s="29"/>
      <c r="J33" s="29"/>
      <c r="K33" s="34">
        <v>0.876278999999977</v>
      </c>
      <c r="L33" s="1">
        <v>0.912709999999967</v>
      </c>
      <c r="M33" s="1">
        <v>0.922314999999965</v>
      </c>
      <c r="N33" s="1">
        <v>0.924599999999959</v>
      </c>
      <c r="O33" s="54">
        <f>28/64</f>
        <v>0.4375</v>
      </c>
      <c r="P33" s="29"/>
      <c r="Q33" s="34">
        <v>0.841721999999985</v>
      </c>
      <c r="R33" s="4">
        <v>0.917788999999967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>
      <c r="A34" s="2">
        <f>18/64</f>
        <v>0.28125</v>
      </c>
      <c r="B34" s="1"/>
      <c r="C34" s="4"/>
      <c r="D34" s="4">
        <v>0.784698999999988</v>
      </c>
      <c r="E34" s="4">
        <v>0.817785999999987</v>
      </c>
      <c r="F34" s="4">
        <v>0.827458999999984</v>
      </c>
      <c r="G34" s="4">
        <v>0.829910999999983</v>
      </c>
      <c r="H34" s="54">
        <f>29/64</f>
        <v>0.453125</v>
      </c>
      <c r="I34" s="30"/>
      <c r="J34" s="29"/>
      <c r="K34" s="1">
        <v>0.875936999999978</v>
      </c>
      <c r="L34" s="34">
        <v>0.912713999999969</v>
      </c>
      <c r="M34" s="34">
        <v>0.922379999999965</v>
      </c>
      <c r="N34" s="34">
        <v>0.924929999999967</v>
      </c>
      <c r="O34" s="54">
        <f>29/64</f>
        <v>0.453125</v>
      </c>
      <c r="P34" s="1"/>
      <c r="Q34" s="1">
        <v>0.841003999999984</v>
      </c>
      <c r="R34" s="4">
        <v>0.920759999999963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>
      <c r="A35" s="1">
        <f>19/64</f>
        <v>0.296875</v>
      </c>
      <c r="B35" s="1"/>
      <c r="C35" s="4"/>
      <c r="D35" s="4"/>
      <c r="E35" s="34">
        <v>0.817977999999986</v>
      </c>
      <c r="F35" s="34">
        <v>0.827721999999984</v>
      </c>
      <c r="G35" s="34">
        <v>0.830294999999983</v>
      </c>
      <c r="H35" s="51">
        <f>30/64</f>
        <v>0.46875</v>
      </c>
      <c r="I35" s="1"/>
      <c r="J35" s="1"/>
      <c r="K35" s="1"/>
      <c r="L35" s="1">
        <v>0.912284999999968</v>
      </c>
      <c r="M35" s="1">
        <v>0.921833999999961</v>
      </c>
      <c r="N35" s="1">
        <v>0.924476999999963</v>
      </c>
      <c r="O35" s="51">
        <f>30/64</f>
        <v>0.46875</v>
      </c>
      <c r="P35" s="1"/>
      <c r="Q35" s="1"/>
      <c r="R35" s="4">
        <v>0.923198999999965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>
      <c r="A36" s="2">
        <f>20/64</f>
        <v>0.3125</v>
      </c>
      <c r="B36" s="1"/>
      <c r="C36" s="1"/>
      <c r="D36" s="2"/>
      <c r="E36" s="1">
        <v>0.816782999999984</v>
      </c>
      <c r="F36" s="1">
        <v>0.826879999999986</v>
      </c>
      <c r="G36" s="1">
        <v>0.829937999999982</v>
      </c>
      <c r="H36" s="54">
        <f>31/64</f>
        <v>0.484375</v>
      </c>
      <c r="I36" s="29"/>
      <c r="J36" s="29"/>
      <c r="K36" s="29"/>
      <c r="L36" s="29"/>
      <c r="M36" s="1"/>
      <c r="N36" s="1"/>
      <c r="O36" s="51">
        <f>31/64</f>
        <v>0.484375</v>
      </c>
      <c r="P36" s="1"/>
      <c r="Q36" s="1"/>
      <c r="R36" s="1">
        <v>0.924722999999964</v>
      </c>
      <c r="S36" s="29">
        <v>0.950483999999955</v>
      </c>
      <c r="T36" s="1"/>
      <c r="U36" s="1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>
      <c r="A37" s="2">
        <f>21/64</f>
        <v>0.328125</v>
      </c>
      <c r="B37" s="1"/>
      <c r="C37" s="1"/>
      <c r="D37" s="2"/>
      <c r="E37" s="2"/>
      <c r="F37" s="1">
        <v>0.825105999999983</v>
      </c>
      <c r="G37" s="1">
        <v>0.827458999999984</v>
      </c>
      <c r="H37" s="56">
        <f>32/64</f>
        <v>0.5</v>
      </c>
      <c r="I37" s="29"/>
      <c r="J37" s="29"/>
      <c r="K37" s="1"/>
      <c r="L37" s="29"/>
      <c r="M37" s="1"/>
      <c r="N37" s="1"/>
      <c r="O37" s="54">
        <f>32/64</f>
        <v>0.5</v>
      </c>
      <c r="P37" s="29"/>
      <c r="Q37" s="29"/>
      <c r="R37" s="55">
        <v>0.92556199999996</v>
      </c>
      <c r="S37" s="34">
        <v>0.951860999999948</v>
      </c>
      <c r="T37" s="1">
        <v>0.958417999999947</v>
      </c>
      <c r="U37" s="1">
        <v>0.959935999999945</v>
      </c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>
      <c r="A38" s="2">
        <f>22/64</f>
        <v>0.34375</v>
      </c>
      <c r="B38" s="1"/>
      <c r="C38" s="1"/>
      <c r="D38" s="2"/>
      <c r="E38" s="2"/>
      <c r="F38" s="2"/>
      <c r="G38" s="2"/>
      <c r="H38" s="56">
        <f>33/64</f>
        <v>0.515625</v>
      </c>
      <c r="I38" s="29"/>
      <c r="J38" s="29"/>
      <c r="K38" s="1"/>
      <c r="L38" s="1"/>
      <c r="M38" s="1"/>
      <c r="N38" s="2"/>
      <c r="O38" s="54">
        <f>33/64</f>
        <v>0.515625</v>
      </c>
      <c r="P38" s="29"/>
      <c r="Q38" s="29"/>
      <c r="R38" s="4">
        <v>0.924832999999964</v>
      </c>
      <c r="S38" s="29">
        <v>0.95168799999995</v>
      </c>
      <c r="T38" s="34">
        <v>0.95853199999995</v>
      </c>
      <c r="U38" s="34">
        <v>0.960372999999946</v>
      </c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>
      <c r="A39" s="2">
        <f>23/64</f>
        <v>0.359375</v>
      </c>
      <c r="B39" s="1"/>
      <c r="C39" s="1"/>
      <c r="D39" s="29"/>
      <c r="E39" s="29"/>
      <c r="F39" s="2"/>
      <c r="G39" s="2"/>
      <c r="H39" s="54">
        <f>34/64</f>
        <v>0.53125</v>
      </c>
      <c r="I39" s="30"/>
      <c r="J39" s="29"/>
      <c r="K39" s="1"/>
      <c r="L39" s="1"/>
      <c r="M39" s="1"/>
      <c r="N39" s="1"/>
      <c r="O39" s="54">
        <f>34/64</f>
        <v>0.53125</v>
      </c>
      <c r="P39" s="1"/>
      <c r="Q39" s="1"/>
      <c r="R39" s="4"/>
      <c r="S39" s="1"/>
      <c r="T39" s="1">
        <v>0.958014999999947</v>
      </c>
      <c r="U39" s="1">
        <v>0.959881999999943</v>
      </c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>
      <c r="A40" s="2"/>
      <c r="B40" s="4"/>
      <c r="C40" s="1"/>
      <c r="D40" s="1"/>
      <c r="E40" s="1"/>
      <c r="F40" s="1"/>
      <c r="G40" s="2"/>
      <c r="H40" s="51">
        <f>35/64</f>
        <v>0.546875</v>
      </c>
      <c r="I40" s="1"/>
      <c r="J40" s="1"/>
      <c r="K40" s="1"/>
      <c r="L40" s="1"/>
      <c r="M40" s="1"/>
      <c r="N40" s="2"/>
      <c r="O40" s="51"/>
      <c r="P40" s="1"/>
      <c r="Q40" s="1"/>
      <c r="R40" s="1"/>
      <c r="S40" s="1"/>
      <c r="T40" s="1"/>
      <c r="U40" s="1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>
      <c r="A41" s="2"/>
      <c r="B41" s="1"/>
      <c r="C41" s="1"/>
      <c r="D41" s="1"/>
      <c r="E41" s="1"/>
      <c r="F41" s="1"/>
      <c r="G41" s="1"/>
      <c r="H41" s="51">
        <f>36/64</f>
        <v>0.5625</v>
      </c>
      <c r="I41" s="1"/>
      <c r="J41" s="1"/>
      <c r="K41" s="1"/>
      <c r="L41" s="1"/>
      <c r="M41" s="1"/>
      <c r="N41" s="1"/>
      <c r="O41" s="51"/>
      <c r="P41" s="1"/>
      <c r="Q41" s="1"/>
      <c r="R41" s="1"/>
      <c r="S41" s="1"/>
      <c r="T41" s="1"/>
      <c r="U41" s="1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>
      <c r="A42" s="2"/>
      <c r="B42" s="4"/>
      <c r="C42" s="30"/>
      <c r="D42" s="29"/>
      <c r="E42" s="30"/>
      <c r="F42" s="1"/>
      <c r="G42" s="1"/>
      <c r="H42" s="54"/>
      <c r="I42" s="29"/>
      <c r="J42" s="29"/>
      <c r="K42" s="29"/>
      <c r="L42" s="30"/>
      <c r="M42" s="1"/>
      <c r="N42" s="1"/>
      <c r="O42" s="54"/>
      <c r="P42" s="29"/>
      <c r="Q42" s="29"/>
      <c r="R42" s="29"/>
      <c r="S42" s="30"/>
      <c r="T42" s="1"/>
      <c r="U42" s="1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>
      <c r="A43" s="1" t="s">
        <v>894</v>
      </c>
      <c r="B43" s="1">
        <v>0.238015999999999</v>
      </c>
      <c r="C43" s="1">
        <v>0.451817999999997</v>
      </c>
      <c r="D43" s="1">
        <v>0.689295999999995</v>
      </c>
      <c r="E43" s="1">
        <v>0.871427999999977</v>
      </c>
      <c r="F43" s="1">
        <v>0.969170999999942</v>
      </c>
      <c r="G43" s="1">
        <v>0.996506999999963</v>
      </c>
      <c r="H43" s="51" t="s">
        <v>894</v>
      </c>
      <c r="I43" s="1">
        <v>0.238015999999999</v>
      </c>
      <c r="J43" s="1">
        <v>0.451817999999997</v>
      </c>
      <c r="K43" s="1">
        <v>0.689295999999995</v>
      </c>
      <c r="L43" s="1">
        <v>0.871427999999977</v>
      </c>
      <c r="M43" s="1">
        <v>0.969170999999942</v>
      </c>
      <c r="N43" s="1">
        <v>0.996506999999963</v>
      </c>
      <c r="O43" s="51" t="s">
        <v>894</v>
      </c>
      <c r="P43" s="1">
        <v>0.238015999999999</v>
      </c>
      <c r="Q43" s="1">
        <v>0.451817999999997</v>
      </c>
      <c r="R43" s="1">
        <v>0.689295999999995</v>
      </c>
      <c r="S43" s="1">
        <v>0.871427999999977</v>
      </c>
      <c r="T43" s="1">
        <v>0.969170999999942</v>
      </c>
      <c r="U43" s="1">
        <v>0.996506999999963</v>
      </c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>
      <c r="A44" s="1"/>
      <c r="B44" s="1"/>
      <c r="C44" s="1"/>
      <c r="D44" s="25">
        <v>0.726046999999999</v>
      </c>
      <c r="E44" s="25">
        <v>0.808327999999989</v>
      </c>
      <c r="F44" s="34">
        <v>0.837061999999982</v>
      </c>
      <c r="G44" s="34">
        <v>0.84447699999998</v>
      </c>
      <c r="H44" s="51"/>
      <c r="I44" s="1"/>
      <c r="J44" s="1"/>
      <c r="K44" s="18">
        <v>0.778193999999992</v>
      </c>
      <c r="L44" s="34">
        <v>0.917897999999965</v>
      </c>
      <c r="M44" s="34">
        <v>0.949812999999953</v>
      </c>
      <c r="N44" s="34">
        <v>0.957061999999951</v>
      </c>
      <c r="O44" s="51"/>
      <c r="P44" s="1"/>
      <c r="Q44" s="1"/>
      <c r="R44" s="18">
        <v>0.860229999999979</v>
      </c>
      <c r="S44" s="34">
        <v>0.963879999999942</v>
      </c>
      <c r="T44" s="34">
        <v>0.983029999999937</v>
      </c>
      <c r="U44" s="34">
        <v>0.986683999999946</v>
      </c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>
      <c r="A45" s="57" t="s">
        <v>86</v>
      </c>
      <c r="B45" s="57">
        <v>2.0</v>
      </c>
      <c r="C45" s="57">
        <v>4.0</v>
      </c>
      <c r="D45" s="57">
        <v>8.0</v>
      </c>
      <c r="E45" s="57">
        <v>16.0</v>
      </c>
      <c r="F45" s="57">
        <v>32.0</v>
      </c>
      <c r="G45" s="57">
        <v>64.0</v>
      </c>
      <c r="H45" s="58" t="s">
        <v>86</v>
      </c>
      <c r="I45" s="57">
        <v>2.0</v>
      </c>
      <c r="J45" s="57">
        <v>4.0</v>
      </c>
      <c r="K45" s="57">
        <v>8.0</v>
      </c>
      <c r="L45" s="57">
        <v>16.0</v>
      </c>
      <c r="M45" s="57">
        <v>32.0</v>
      </c>
      <c r="N45" s="57">
        <v>64.0</v>
      </c>
      <c r="O45" s="58" t="s">
        <v>86</v>
      </c>
      <c r="P45" s="57">
        <v>2.0</v>
      </c>
      <c r="Q45" s="57">
        <v>4.0</v>
      </c>
      <c r="R45" s="57">
        <v>8.0</v>
      </c>
      <c r="S45" s="57">
        <v>16.0</v>
      </c>
      <c r="T45" s="57">
        <v>32.0</v>
      </c>
      <c r="U45" s="57">
        <v>64.0</v>
      </c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>
      <c r="A46" s="1" t="s">
        <v>892</v>
      </c>
      <c r="B46" s="2"/>
      <c r="C46" s="2"/>
      <c r="D46" s="2"/>
      <c r="E46" s="2"/>
      <c r="F46" s="2"/>
      <c r="G46" s="2"/>
      <c r="H46" s="51" t="s">
        <v>893</v>
      </c>
      <c r="I46" s="2"/>
      <c r="J46" s="2"/>
      <c r="K46" s="2"/>
      <c r="L46" s="2"/>
      <c r="M46" s="2"/>
      <c r="N46" s="2"/>
      <c r="O46" s="51" t="s">
        <v>115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>
      <c r="A47" s="1">
        <v>0.0</v>
      </c>
      <c r="B47" s="1">
        <v>0.398616999999998</v>
      </c>
      <c r="C47" s="1">
        <v>0.608462999999997</v>
      </c>
      <c r="D47" s="1">
        <v>0.707353999999993</v>
      </c>
      <c r="E47" s="1">
        <v>0.741432999999992</v>
      </c>
      <c r="F47" s="1">
        <v>0.752032999999988</v>
      </c>
      <c r="G47" s="1">
        <v>0.754596999999991</v>
      </c>
      <c r="H47" s="51">
        <v>0.0</v>
      </c>
      <c r="I47" s="1">
        <v>0.398545999999998</v>
      </c>
      <c r="J47" s="1">
        <v>0.608484999999994</v>
      </c>
      <c r="K47" s="1">
        <v>0.707438999999994</v>
      </c>
      <c r="L47" s="1"/>
      <c r="M47" s="1"/>
      <c r="N47" s="1"/>
      <c r="O47" s="51">
        <v>0.0</v>
      </c>
      <c r="P47" s="1">
        <v>0.398654999999998</v>
      </c>
      <c r="Q47" s="1">
        <v>0.608473999999995</v>
      </c>
      <c r="R47" s="1">
        <v>0.707488999999994</v>
      </c>
      <c r="S47" s="1">
        <v>0.741447999999991</v>
      </c>
      <c r="T47" s="1">
        <v>0.752047999999988</v>
      </c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>
      <c r="A48" s="1">
        <f>16/64</f>
        <v>0.25</v>
      </c>
      <c r="B48" s="1">
        <v>0.558427999999997</v>
      </c>
      <c r="C48" s="1"/>
      <c r="D48" s="1"/>
      <c r="E48" s="1"/>
      <c r="F48" s="1"/>
      <c r="G48" s="1"/>
      <c r="H48" s="53">
        <f>21/64</f>
        <v>0.328125</v>
      </c>
      <c r="I48" s="1">
        <v>0.626697999999997</v>
      </c>
      <c r="J48" s="1"/>
      <c r="K48" s="1"/>
      <c r="L48" s="2"/>
      <c r="M48" s="2"/>
      <c r="N48" s="2"/>
      <c r="O48" s="52">
        <f>24/64</f>
        <v>0.375</v>
      </c>
      <c r="P48" s="1">
        <v>0.705880999999992</v>
      </c>
      <c r="Q48" s="1"/>
      <c r="R48" s="1"/>
      <c r="S48" s="1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>
      <c r="A49" s="2">
        <f>17/64</f>
        <v>0.265625</v>
      </c>
      <c r="B49" s="34">
        <v>0.558930999999999</v>
      </c>
      <c r="C49" s="1">
        <v>0.754873999999996</v>
      </c>
      <c r="D49" s="2"/>
      <c r="E49" s="2"/>
      <c r="F49" s="1"/>
      <c r="G49" s="1"/>
      <c r="H49" s="52">
        <f>22/64</f>
        <v>0.34375</v>
      </c>
      <c r="I49" s="1">
        <v>0.628264999999995</v>
      </c>
      <c r="J49" s="1"/>
      <c r="K49" s="1"/>
      <c r="L49" s="2"/>
      <c r="M49" s="2"/>
      <c r="N49" s="2"/>
      <c r="O49" s="52">
        <f>25/64</f>
        <v>0.390625</v>
      </c>
      <c r="P49" s="1">
        <v>0.710972999999991</v>
      </c>
      <c r="Q49" s="1"/>
      <c r="R49" s="1"/>
      <c r="S49" s="1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>
      <c r="A50" s="2">
        <f>18/64</f>
        <v>0.28125</v>
      </c>
      <c r="B50" s="1">
        <v>0.557937999999998</v>
      </c>
      <c r="C50" s="34">
        <v>0.754990999999985</v>
      </c>
      <c r="D50" s="1">
        <v>0.826606999999982</v>
      </c>
      <c r="E50" s="2"/>
      <c r="F50" s="2"/>
      <c r="G50" s="2"/>
      <c r="H50" s="52">
        <f>23/64</f>
        <v>0.359375</v>
      </c>
      <c r="I50" s="1">
        <v>0.628443999999996</v>
      </c>
      <c r="J50" s="1">
        <v>0.817677999999988</v>
      </c>
      <c r="K50" s="2"/>
      <c r="L50" s="2"/>
      <c r="M50" s="2"/>
      <c r="N50" s="2"/>
      <c r="O50" s="54">
        <f>26/64</f>
        <v>0.40625</v>
      </c>
      <c r="P50" s="1">
        <v>0.712486999999991</v>
      </c>
      <c r="Q50" s="1"/>
      <c r="R50" s="1"/>
      <c r="S50" s="1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>
      <c r="A51" s="1">
        <f>19/64</f>
        <v>0.296875</v>
      </c>
      <c r="B51" s="1">
        <v>0.556426999999998</v>
      </c>
      <c r="C51" s="1">
        <v>0.75329099999999</v>
      </c>
      <c r="D51" s="1">
        <v>0.827906999999985</v>
      </c>
      <c r="E51" s="2"/>
      <c r="F51" s="2"/>
      <c r="G51" s="2"/>
      <c r="H51" s="52">
        <f>24/64</f>
        <v>0.375</v>
      </c>
      <c r="I51" s="34">
        <v>0.629376999999995</v>
      </c>
      <c r="J51" s="34">
        <v>0.818603999999985</v>
      </c>
      <c r="K51" s="1">
        <v>0.886893999999973</v>
      </c>
      <c r="L51" s="2"/>
      <c r="M51" s="2"/>
      <c r="N51" s="2"/>
      <c r="O51" s="54">
        <f>27/64</f>
        <v>0.421875</v>
      </c>
      <c r="P51" s="34">
        <v>0.71390799999999</v>
      </c>
      <c r="Q51" s="1">
        <v>0.875420999999978</v>
      </c>
      <c r="R51" s="1"/>
      <c r="S51" s="1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>
      <c r="A52" s="2">
        <f>20/64</f>
        <v>0.3125</v>
      </c>
      <c r="B52" s="1"/>
      <c r="C52" s="1"/>
      <c r="D52" s="55">
        <v>0.828938999999984</v>
      </c>
      <c r="E52" s="29">
        <v>0.854777999999982</v>
      </c>
      <c r="F52" s="1">
        <v>0.862320999999981</v>
      </c>
      <c r="G52" s="1">
        <v>0.864194999999979</v>
      </c>
      <c r="H52" s="52">
        <f>25/64</f>
        <v>0.390625</v>
      </c>
      <c r="I52" s="1">
        <v>0.626729999999996</v>
      </c>
      <c r="J52" s="1">
        <v>0.818094999999987</v>
      </c>
      <c r="K52" s="1">
        <v>0.889751999999972</v>
      </c>
      <c r="L52" s="2"/>
      <c r="M52" s="2"/>
      <c r="N52" s="2"/>
      <c r="O52" s="54">
        <f>28/64</f>
        <v>0.4375</v>
      </c>
      <c r="P52" s="1">
        <v>0.713430999999994</v>
      </c>
      <c r="Q52" s="1">
        <v>0.876939999999979</v>
      </c>
      <c r="R52" s="1"/>
      <c r="S52" s="1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>
      <c r="A53" s="2">
        <f>21/64</f>
        <v>0.328125</v>
      </c>
      <c r="B53" s="4"/>
      <c r="C53" s="1"/>
      <c r="D53" s="1">
        <v>0.828563999999985</v>
      </c>
      <c r="E53" s="34">
        <v>0.854983999999982</v>
      </c>
      <c r="F53" s="34">
        <v>0.863003999999981</v>
      </c>
      <c r="G53" s="34">
        <v>0.864944999999979</v>
      </c>
      <c r="H53" s="54">
        <f>26/64</f>
        <v>0.40625</v>
      </c>
      <c r="I53" s="25"/>
      <c r="J53" s="25"/>
      <c r="K53" s="1">
        <v>0.891883999999979</v>
      </c>
      <c r="L53" s="2"/>
      <c r="M53" s="2"/>
      <c r="N53" s="2"/>
      <c r="O53" s="54">
        <f>29/64</f>
        <v>0.453125</v>
      </c>
      <c r="P53" s="1"/>
      <c r="Q53" s="1">
        <v>0.877466999999981</v>
      </c>
      <c r="R53" s="1"/>
      <c r="S53" s="1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>
      <c r="A54" s="2">
        <f>22/64</f>
        <v>0.34375</v>
      </c>
      <c r="B54" s="1"/>
      <c r="C54" s="1"/>
      <c r="D54" s="1">
        <v>0.826924999999983</v>
      </c>
      <c r="E54" s="1">
        <v>0.85459499999998</v>
      </c>
      <c r="F54" s="1">
        <v>0.862804999999979</v>
      </c>
      <c r="G54" s="1">
        <v>0.864855999999981</v>
      </c>
      <c r="H54" s="54">
        <f>27/64</f>
        <v>0.421875</v>
      </c>
      <c r="I54" s="1"/>
      <c r="J54" s="1"/>
      <c r="K54" s="1">
        <v>0.893050999999975</v>
      </c>
      <c r="L54" s="2"/>
      <c r="M54" s="2"/>
      <c r="N54" s="2"/>
      <c r="O54" s="51">
        <f>30/64</f>
        <v>0.46875</v>
      </c>
      <c r="P54" s="1"/>
      <c r="Q54" s="34">
        <v>0.87757299999998</v>
      </c>
      <c r="R54" s="1">
        <v>0.938452999999962</v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>
      <c r="A55" s="2">
        <f>23/64</f>
        <v>0.359375</v>
      </c>
      <c r="B55" s="4"/>
      <c r="C55" s="30"/>
      <c r="D55" s="29"/>
      <c r="E55" s="30"/>
      <c r="F55" s="4"/>
      <c r="G55" s="4">
        <v>0.863744999999975</v>
      </c>
      <c r="H55" s="56">
        <f>28/64</f>
        <v>0.4375</v>
      </c>
      <c r="I55" s="4"/>
      <c r="J55" s="1"/>
      <c r="K55" s="1">
        <v>0.893653999999979</v>
      </c>
      <c r="L55" s="1">
        <v>0.922127999999967</v>
      </c>
      <c r="M55" s="1">
        <v>0.929524999999966</v>
      </c>
      <c r="N55" s="1">
        <v>0.931339999999961</v>
      </c>
      <c r="O55" s="51">
        <f>31/64</f>
        <v>0.484375</v>
      </c>
      <c r="P55" s="1"/>
      <c r="Q55" s="1">
        <v>0.877107999999979</v>
      </c>
      <c r="R55" s="1">
        <v>0.940231999999965</v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>
      <c r="A56" s="2">
        <f>15/64</f>
        <v>0.234375</v>
      </c>
      <c r="B56" s="1"/>
      <c r="C56" s="1"/>
      <c r="D56" s="2"/>
      <c r="E56" s="4"/>
      <c r="F56" s="25"/>
      <c r="G56" s="25"/>
      <c r="H56" s="54">
        <f>29/64</f>
        <v>0.453125</v>
      </c>
      <c r="I56" s="1"/>
      <c r="J56" s="1"/>
      <c r="K56" s="34">
        <v>0.893984999999976</v>
      </c>
      <c r="L56" s="34">
        <v>0.922316999999972</v>
      </c>
      <c r="M56" s="34">
        <v>0.929891999999966</v>
      </c>
      <c r="N56" s="34">
        <v>0.931874999999967</v>
      </c>
      <c r="O56" s="54">
        <f>32/64</f>
        <v>0.5</v>
      </c>
      <c r="P56" s="25"/>
      <c r="Q56" s="25"/>
      <c r="R56" s="1">
        <v>0.941774999999959</v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>
      <c r="A57" s="1">
        <f>16/64</f>
        <v>0.25</v>
      </c>
      <c r="B57" s="1"/>
      <c r="C57" s="1"/>
      <c r="D57" s="1"/>
      <c r="E57" s="1"/>
      <c r="F57" s="1"/>
      <c r="G57" s="1"/>
      <c r="H57" s="51">
        <f>30/64</f>
        <v>0.46875</v>
      </c>
      <c r="I57" s="1"/>
      <c r="J57" s="2"/>
      <c r="K57" s="1">
        <v>0.892911999999978</v>
      </c>
      <c r="L57" s="1">
        <v>0.921719999999972</v>
      </c>
      <c r="M57" s="1">
        <v>0.929808999999965</v>
      </c>
      <c r="N57" s="1">
        <v>0.931663999999967</v>
      </c>
      <c r="O57" s="52">
        <f>33/64</f>
        <v>0.515625</v>
      </c>
      <c r="P57" s="1"/>
      <c r="Q57" s="1"/>
      <c r="R57" s="34">
        <v>0.942388999999962</v>
      </c>
      <c r="S57" s="1">
        <v>0.961906999999949</v>
      </c>
      <c r="T57" s="1">
        <v>0.966814999999949</v>
      </c>
      <c r="U57" s="1">
        <v>0.968155999999948</v>
      </c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>
      <c r="A58" s="2">
        <f>17/64</f>
        <v>0.265625</v>
      </c>
      <c r="B58" s="1"/>
      <c r="C58" s="1"/>
      <c r="D58" s="2"/>
      <c r="E58" s="2"/>
      <c r="F58" s="1"/>
      <c r="G58" s="1"/>
      <c r="H58" s="54"/>
      <c r="I58" s="29"/>
      <c r="J58" s="29"/>
      <c r="K58" s="29"/>
      <c r="L58" s="29"/>
      <c r="M58" s="1"/>
      <c r="N58" s="1"/>
      <c r="O58" s="54">
        <f>34/64</f>
        <v>0.53125</v>
      </c>
      <c r="P58" s="1"/>
      <c r="Q58" s="29"/>
      <c r="R58" s="29">
        <v>0.942286999999959</v>
      </c>
      <c r="S58" s="55">
        <v>0.962300999999948</v>
      </c>
      <c r="T58" s="34">
        <v>0.967271999999948</v>
      </c>
      <c r="U58" s="34">
        <v>0.968559999999948</v>
      </c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>
      <c r="A59" s="2">
        <f>18/64</f>
        <v>0.28125</v>
      </c>
      <c r="B59" s="1"/>
      <c r="C59" s="1"/>
      <c r="D59" s="2"/>
      <c r="E59" s="2"/>
      <c r="F59" s="2"/>
      <c r="G59" s="2"/>
      <c r="H59" s="56"/>
      <c r="I59" s="30"/>
      <c r="J59" s="29"/>
      <c r="K59" s="29"/>
      <c r="L59" s="29"/>
      <c r="M59" s="1"/>
      <c r="N59" s="1"/>
      <c r="O59" s="54">
        <f>35/64</f>
        <v>0.546875</v>
      </c>
      <c r="P59" s="1"/>
      <c r="Q59" s="2"/>
      <c r="R59" s="1"/>
      <c r="S59" s="1">
        <v>0.961778999999951</v>
      </c>
      <c r="T59" s="1">
        <v>0.966921999999945</v>
      </c>
      <c r="U59" s="1">
        <v>0.968249999999946</v>
      </c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>
      <c r="A60" s="1">
        <f>19/64</f>
        <v>0.296875</v>
      </c>
      <c r="B60" s="1"/>
      <c r="C60" s="1"/>
      <c r="D60" s="2"/>
      <c r="E60" s="2"/>
      <c r="F60" s="2"/>
      <c r="G60" s="2"/>
      <c r="H60" s="54"/>
      <c r="I60" s="30"/>
      <c r="J60" s="29"/>
      <c r="K60" s="29"/>
      <c r="L60" s="29"/>
      <c r="M60" s="1"/>
      <c r="N60" s="1"/>
      <c r="O60" s="54"/>
      <c r="P60" s="29"/>
      <c r="Q60" s="2"/>
      <c r="R60" s="4"/>
      <c r="S60" s="29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>
      <c r="A61" s="2">
        <f>20/64</f>
        <v>0.3125</v>
      </c>
      <c r="B61" s="1"/>
      <c r="C61" s="1"/>
      <c r="D61" s="29"/>
      <c r="E61" s="29"/>
      <c r="F61" s="2"/>
      <c r="G61" s="2"/>
      <c r="H61" s="51"/>
      <c r="I61" s="30"/>
      <c r="J61" s="29"/>
      <c r="K61" s="29"/>
      <c r="L61" s="29"/>
      <c r="M61" s="1"/>
      <c r="N61" s="1"/>
      <c r="O61" s="54"/>
      <c r="P61" s="1"/>
      <c r="Q61" s="2"/>
      <c r="R61" s="4"/>
      <c r="S61" s="1"/>
      <c r="T61" s="1"/>
      <c r="U61" s="1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>
      <c r="A62" s="2">
        <f>21/64</f>
        <v>0.328125</v>
      </c>
      <c r="B62" s="4"/>
      <c r="C62" s="1"/>
      <c r="D62" s="1"/>
      <c r="E62" s="1"/>
      <c r="F62" s="1"/>
      <c r="G62" s="2"/>
      <c r="H62" s="51"/>
      <c r="I62" s="1"/>
      <c r="J62" s="1"/>
      <c r="K62" s="1"/>
      <c r="L62" s="1"/>
      <c r="M62" s="1"/>
      <c r="N62" s="2"/>
      <c r="O62" s="51"/>
      <c r="P62" s="1"/>
      <c r="Q62" s="30"/>
      <c r="R62" s="29"/>
      <c r="S62" s="29"/>
      <c r="T62" s="29"/>
      <c r="U62" s="1"/>
      <c r="V62" s="1"/>
      <c r="W62" s="2"/>
      <c r="X62" s="2"/>
      <c r="Y62" s="2"/>
      <c r="Z62" s="2"/>
      <c r="AA62" s="2"/>
      <c r="AB62" s="2"/>
      <c r="AC62" s="2"/>
      <c r="AD62" s="2"/>
      <c r="AE62" s="2"/>
    </row>
    <row r="63">
      <c r="A63" s="2">
        <f>22/64</f>
        <v>0.34375</v>
      </c>
      <c r="B63" s="1"/>
      <c r="C63" s="1"/>
      <c r="D63" s="1"/>
      <c r="E63" s="1"/>
      <c r="F63" s="1"/>
      <c r="G63" s="1"/>
      <c r="H63" s="51"/>
      <c r="I63" s="1"/>
      <c r="J63" s="1"/>
      <c r="K63" s="1"/>
      <c r="L63" s="1"/>
      <c r="M63" s="1"/>
      <c r="N63" s="1"/>
      <c r="O63" s="51"/>
      <c r="P63" s="1"/>
      <c r="Q63" s="1"/>
      <c r="R63" s="1"/>
      <c r="S63" s="1"/>
      <c r="T63" s="1"/>
      <c r="U63" s="1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>
      <c r="A64" s="2">
        <f>23/64</f>
        <v>0.359375</v>
      </c>
      <c r="B64" s="4"/>
      <c r="C64" s="30"/>
      <c r="D64" s="29"/>
      <c r="E64" s="30"/>
      <c r="F64" s="1"/>
      <c r="G64" s="1"/>
      <c r="H64" s="54"/>
      <c r="I64" s="29"/>
      <c r="J64" s="29"/>
      <c r="K64" s="29"/>
      <c r="L64" s="30"/>
      <c r="M64" s="1"/>
      <c r="N64" s="1"/>
      <c r="O64" s="54"/>
      <c r="P64" s="29"/>
      <c r="Q64" s="29"/>
      <c r="R64" s="29"/>
      <c r="S64" s="30"/>
      <c r="T64" s="1"/>
      <c r="U64" s="1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>
      <c r="A65" s="1" t="s">
        <v>894</v>
      </c>
      <c r="B65" s="1">
        <v>0.265783</v>
      </c>
      <c r="C65" s="1">
        <v>0.492055999999996</v>
      </c>
      <c r="D65" s="1">
        <v>0.71743899999999</v>
      </c>
      <c r="E65" s="1">
        <v>0.892484999999977</v>
      </c>
      <c r="F65" s="1">
        <v>0.974064999999947</v>
      </c>
      <c r="G65" s="1">
        <v>0.997127999999968</v>
      </c>
      <c r="H65" s="51" t="s">
        <v>894</v>
      </c>
      <c r="I65" s="1">
        <v>0.265783</v>
      </c>
      <c r="J65" s="1">
        <v>0.492055999999996</v>
      </c>
      <c r="K65" s="1">
        <v>0.71743899999999</v>
      </c>
      <c r="L65" s="1">
        <v>0.892484999999977</v>
      </c>
      <c r="M65" s="1">
        <v>0.974064999999947</v>
      </c>
      <c r="N65" s="1">
        <v>0.997127999999968</v>
      </c>
      <c r="O65" s="51" t="s">
        <v>894</v>
      </c>
      <c r="P65" s="1">
        <v>0.265783</v>
      </c>
      <c r="Q65" s="1">
        <v>0.492055999999996</v>
      </c>
      <c r="R65" s="1">
        <v>0.71743899999999</v>
      </c>
      <c r="S65" s="1">
        <v>0.892484999999977</v>
      </c>
      <c r="T65" s="1">
        <v>0.974064999999947</v>
      </c>
      <c r="U65" s="1">
        <v>0.997127999999968</v>
      </c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>
      <c r="A66" s="1"/>
      <c r="B66" s="1"/>
      <c r="C66" s="1"/>
      <c r="D66" s="1"/>
      <c r="E66" s="35"/>
      <c r="F66" s="18"/>
      <c r="G66" s="18"/>
      <c r="H66" s="51"/>
      <c r="I66" s="1"/>
      <c r="J66" s="1"/>
      <c r="K66" s="1"/>
      <c r="L66" s="18"/>
      <c r="M66" s="25"/>
      <c r="N66" s="34">
        <v>0.959007999999953</v>
      </c>
      <c r="O66" s="51"/>
      <c r="P66" s="1"/>
      <c r="Q66" s="1"/>
      <c r="R66" s="18"/>
      <c r="S66" s="34">
        <v>0.976826999999938</v>
      </c>
      <c r="T66" s="34">
        <v>0.989521999999947</v>
      </c>
      <c r="U66" s="34">
        <v>0.992005999999949</v>
      </c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>
      <c r="A67" s="57" t="s">
        <v>87</v>
      </c>
      <c r="B67" s="57">
        <v>2.0</v>
      </c>
      <c r="C67" s="57">
        <v>4.0</v>
      </c>
      <c r="D67" s="57">
        <v>8.0</v>
      </c>
      <c r="E67" s="57">
        <v>16.0</v>
      </c>
      <c r="F67" s="57">
        <v>32.0</v>
      </c>
      <c r="G67" s="57">
        <v>64.0</v>
      </c>
      <c r="H67" s="58" t="s">
        <v>87</v>
      </c>
      <c r="I67" s="57">
        <v>2.0</v>
      </c>
      <c r="J67" s="57">
        <v>4.0</v>
      </c>
      <c r="K67" s="57">
        <v>8.0</v>
      </c>
      <c r="L67" s="57">
        <v>16.0</v>
      </c>
      <c r="M67" s="57">
        <v>32.0</v>
      </c>
      <c r="N67" s="57">
        <v>64.0</v>
      </c>
      <c r="O67" s="58" t="s">
        <v>87</v>
      </c>
      <c r="P67" s="57">
        <v>2.0</v>
      </c>
      <c r="Q67" s="57">
        <v>4.0</v>
      </c>
      <c r="R67" s="57">
        <v>8.0</v>
      </c>
      <c r="S67" s="57">
        <v>16.0</v>
      </c>
      <c r="T67" s="57">
        <v>32.0</v>
      </c>
      <c r="U67" s="57">
        <v>64.0</v>
      </c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>
      <c r="A68" s="1" t="s">
        <v>892</v>
      </c>
      <c r="B68" s="2"/>
      <c r="C68" s="2"/>
      <c r="D68" s="2"/>
      <c r="E68" s="2"/>
      <c r="F68" s="2"/>
      <c r="G68" s="2"/>
      <c r="H68" s="51" t="s">
        <v>893</v>
      </c>
      <c r="I68" s="2"/>
      <c r="J68" s="2"/>
      <c r="K68" s="2"/>
      <c r="L68" s="2"/>
      <c r="M68" s="2"/>
      <c r="N68" s="2"/>
      <c r="O68" s="51" t="s">
        <v>115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>
      <c r="A69" s="1">
        <v>0.0</v>
      </c>
      <c r="B69" s="1">
        <v>0.465521999999998</v>
      </c>
      <c r="C69" s="1">
        <v>0.665783999999993</v>
      </c>
      <c r="D69" s="1">
        <v>0.75199599999999</v>
      </c>
      <c r="E69" s="1">
        <v>0.780666999999986</v>
      </c>
      <c r="F69" s="1">
        <v>0.789109999999985</v>
      </c>
      <c r="G69" s="1">
        <v>0.791496999999989</v>
      </c>
      <c r="H69" s="51">
        <v>0.0</v>
      </c>
      <c r="I69" s="1">
        <v>0.465317999999997</v>
      </c>
      <c r="J69" s="1"/>
      <c r="K69" s="1"/>
      <c r="L69" s="1"/>
      <c r="M69" s="1"/>
      <c r="N69" s="1"/>
      <c r="O69" s="51">
        <v>0.0</v>
      </c>
      <c r="P69" s="1">
        <v>0.465342999999995</v>
      </c>
      <c r="Q69" s="1">
        <v>0.66587199999999</v>
      </c>
      <c r="R69" s="1">
        <v>0.751894999999991</v>
      </c>
      <c r="S69" s="1">
        <v>0.780697999999988</v>
      </c>
      <c r="T69" s="1">
        <v>0.789114999999985</v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>
      <c r="A70" s="2">
        <f>17/64</f>
        <v>0.265625</v>
      </c>
      <c r="B70" s="1">
        <v>0.638928999999995</v>
      </c>
      <c r="C70" s="1"/>
      <c r="D70" s="29"/>
      <c r="E70" s="29"/>
      <c r="F70" s="2"/>
      <c r="G70" s="2"/>
      <c r="H70" s="51">
        <f>16/64</f>
        <v>0.25</v>
      </c>
      <c r="I70" s="1"/>
      <c r="J70" s="1"/>
      <c r="K70" s="1"/>
      <c r="L70" s="2"/>
      <c r="M70" s="2"/>
      <c r="N70" s="2"/>
      <c r="O70" s="52">
        <f>25/64</f>
        <v>0.390625</v>
      </c>
      <c r="P70" s="1">
        <v>0.762954999999992</v>
      </c>
      <c r="Q70" s="1"/>
      <c r="R70" s="1"/>
      <c r="S70" s="1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>
      <c r="A71" s="2">
        <f>18/64</f>
        <v>0.28125</v>
      </c>
      <c r="B71" s="34">
        <v>0.640191999999994</v>
      </c>
      <c r="C71" s="1">
        <v>0.810716999999983</v>
      </c>
      <c r="D71" s="1"/>
      <c r="E71" s="1"/>
      <c r="F71" s="1"/>
      <c r="G71" s="2"/>
      <c r="H71" s="52">
        <f>17/64</f>
        <v>0.265625</v>
      </c>
      <c r="I71" s="1"/>
      <c r="J71" s="1"/>
      <c r="K71" s="1"/>
      <c r="L71" s="2"/>
      <c r="M71" s="2"/>
      <c r="N71" s="2"/>
      <c r="O71" s="54">
        <f>26/64</f>
        <v>0.40625</v>
      </c>
      <c r="P71" s="1">
        <v>0.766686999999988</v>
      </c>
      <c r="Q71" s="1"/>
      <c r="R71" s="1"/>
      <c r="S71" s="1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>
      <c r="A72" s="1">
        <f>19/64</f>
        <v>0.296875</v>
      </c>
      <c r="B72" s="4">
        <v>0.639807999999993</v>
      </c>
      <c r="C72" s="34">
        <v>0.811004999999985</v>
      </c>
      <c r="D72" s="1">
        <v>0.866015999999975</v>
      </c>
      <c r="E72" s="1"/>
      <c r="F72" s="1"/>
      <c r="G72" s="1"/>
      <c r="H72" s="52">
        <f>18/64</f>
        <v>0.28125</v>
      </c>
      <c r="I72" s="1"/>
      <c r="J72" s="1"/>
      <c r="K72" s="2"/>
      <c r="L72" s="2"/>
      <c r="M72" s="2"/>
      <c r="N72" s="2"/>
      <c r="O72" s="54">
        <f>27/64</f>
        <v>0.421875</v>
      </c>
      <c r="P72" s="1">
        <v>0.76923799999999</v>
      </c>
      <c r="Q72" s="1"/>
      <c r="R72" s="1"/>
      <c r="S72" s="1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>
      <c r="A73" s="2">
        <f>20/64</f>
        <v>0.3125</v>
      </c>
      <c r="B73" s="1">
        <v>0.638611999999992</v>
      </c>
      <c r="C73" s="29">
        <v>0.810622999999982</v>
      </c>
      <c r="D73" s="29">
        <v>0.867943999999978</v>
      </c>
      <c r="E73" s="30"/>
      <c r="F73" s="1"/>
      <c r="G73" s="1"/>
      <c r="H73" s="51">
        <f>19/64</f>
        <v>0.296875</v>
      </c>
      <c r="I73" s="1"/>
      <c r="J73" s="1"/>
      <c r="K73" s="2"/>
      <c r="L73" s="2"/>
      <c r="M73" s="2"/>
      <c r="N73" s="2"/>
      <c r="O73" s="54">
        <f>28/64</f>
        <v>0.4375</v>
      </c>
      <c r="P73" s="34">
        <v>0.77046399999999</v>
      </c>
      <c r="Q73" s="1">
        <v>0.903308999999973</v>
      </c>
      <c r="R73" s="1"/>
      <c r="S73" s="1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>
      <c r="A74" s="2">
        <f>21/64</f>
        <v>0.328125</v>
      </c>
      <c r="B74" s="4">
        <v>0.636742999999993</v>
      </c>
      <c r="C74" s="4">
        <v>0.809829999999985</v>
      </c>
      <c r="D74" s="1">
        <v>0.868925999999976</v>
      </c>
      <c r="E74" s="2"/>
      <c r="F74" s="2"/>
      <c r="G74" s="2"/>
      <c r="H74" s="52">
        <f>20/64</f>
        <v>0.3125</v>
      </c>
      <c r="I74" s="1"/>
      <c r="J74" s="1"/>
      <c r="K74" s="2"/>
      <c r="L74" s="2"/>
      <c r="M74" s="2"/>
      <c r="N74" s="2"/>
      <c r="O74" s="54">
        <f>29/64</f>
        <v>0.453125</v>
      </c>
      <c r="P74" s="1">
        <v>0.770373999999989</v>
      </c>
      <c r="Q74" s="1">
        <v>0.904788999999976</v>
      </c>
      <c r="R74" s="1"/>
      <c r="S74" s="1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>
      <c r="A75" s="2">
        <f>22/64</f>
        <v>0.34375</v>
      </c>
      <c r="B75" s="1"/>
      <c r="C75" s="1"/>
      <c r="D75" s="4">
        <v>0.86926599999998</v>
      </c>
      <c r="E75" s="1">
        <v>0.891096999999974</v>
      </c>
      <c r="F75" s="2"/>
      <c r="G75" s="1">
        <v>0.898486999999976</v>
      </c>
      <c r="H75" s="53">
        <f>21/64</f>
        <v>0.328125</v>
      </c>
      <c r="I75" s="4">
        <v>0.684079999999991</v>
      </c>
      <c r="J75" s="25"/>
      <c r="K75" s="2"/>
      <c r="L75" s="2"/>
      <c r="M75" s="2"/>
      <c r="N75" s="2"/>
      <c r="O75" s="51">
        <f>30/64</f>
        <v>0.46875</v>
      </c>
      <c r="P75" s="1"/>
      <c r="Q75" s="1">
        <v>0.905020999999973</v>
      </c>
      <c r="R75" s="1"/>
      <c r="S75" s="1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>
      <c r="A76" s="1">
        <f>23/64</f>
        <v>0.359375</v>
      </c>
      <c r="B76" s="1"/>
      <c r="C76" s="1"/>
      <c r="D76" s="34">
        <v>0.869325999999973</v>
      </c>
      <c r="E76" s="34">
        <v>0.891796999999972</v>
      </c>
      <c r="F76" s="4">
        <v>0.897352999999976</v>
      </c>
      <c r="G76" s="34">
        <v>0.899155999999976</v>
      </c>
      <c r="H76" s="52">
        <f>22/64</f>
        <v>0.34375</v>
      </c>
      <c r="I76" s="34">
        <v>0.685344999999991</v>
      </c>
      <c r="J76" s="1">
        <v>0.847782999999983</v>
      </c>
      <c r="K76" s="1"/>
      <c r="L76" s="2"/>
      <c r="M76" s="2"/>
      <c r="N76" s="2"/>
      <c r="O76" s="51">
        <f>31/64</f>
        <v>0.484375</v>
      </c>
      <c r="P76" s="1"/>
      <c r="Q76" s="34">
        <v>0.905340999999976</v>
      </c>
      <c r="R76" s="1">
        <v>0.954159999999958</v>
      </c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>
      <c r="A77" s="2">
        <f>24/64</f>
        <v>0.375</v>
      </c>
      <c r="B77" s="1"/>
      <c r="C77" s="1"/>
      <c r="D77" s="1">
        <v>0.868740999999979</v>
      </c>
      <c r="E77" s="1">
        <v>0.891728999999973</v>
      </c>
      <c r="F77" s="34">
        <v>0.897366999999976</v>
      </c>
      <c r="G77" s="4">
        <v>0.899003999999975</v>
      </c>
      <c r="H77" s="52">
        <f>23/64</f>
        <v>0.359375</v>
      </c>
      <c r="I77" s="4">
        <v>0.685111999999991</v>
      </c>
      <c r="J77" s="1">
        <v>0.848474999999981</v>
      </c>
      <c r="K77" s="1"/>
      <c r="L77" s="2"/>
      <c r="M77" s="2"/>
      <c r="N77" s="2"/>
      <c r="O77" s="54">
        <f>32/64</f>
        <v>0.5</v>
      </c>
      <c r="P77" s="1"/>
      <c r="Q77" s="1">
        <v>0.90469899999997</v>
      </c>
      <c r="R77" s="1">
        <v>0.955626999999962</v>
      </c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>
      <c r="A78" s="2">
        <f>25/64</f>
        <v>0.390625</v>
      </c>
      <c r="B78" s="1"/>
      <c r="C78" s="1"/>
      <c r="D78" s="2"/>
      <c r="E78" s="2"/>
      <c r="F78" s="1">
        <v>0.896609999999971</v>
      </c>
      <c r="G78" s="1">
        <v>0.898082999999978</v>
      </c>
      <c r="H78" s="52">
        <f>24/64</f>
        <v>0.375</v>
      </c>
      <c r="I78" s="1"/>
      <c r="J78" s="1">
        <v>0.848732999999982</v>
      </c>
      <c r="K78" s="1"/>
      <c r="L78" s="2"/>
      <c r="M78" s="2"/>
      <c r="N78" s="2"/>
      <c r="O78" s="52">
        <f>33/64</f>
        <v>0.515625</v>
      </c>
      <c r="P78" s="25"/>
      <c r="Q78" s="25"/>
      <c r="R78" s="34">
        <v>0.956738999999957</v>
      </c>
      <c r="S78" s="1">
        <v>0.970421999999948</v>
      </c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>
      <c r="A79" s="1"/>
      <c r="B79" s="1"/>
      <c r="C79" s="1"/>
      <c r="D79" s="1"/>
      <c r="E79" s="1"/>
      <c r="F79" s="1"/>
      <c r="G79" s="1"/>
      <c r="H79" s="52">
        <f>25/64</f>
        <v>0.390625</v>
      </c>
      <c r="I79" s="1"/>
      <c r="J79" s="34">
        <v>0.848966999999978</v>
      </c>
      <c r="K79" s="1">
        <v>0.908053999999972</v>
      </c>
      <c r="L79" s="2"/>
      <c r="M79" s="2"/>
      <c r="N79" s="2"/>
      <c r="O79" s="52">
        <f>34/64</f>
        <v>0.53125</v>
      </c>
      <c r="P79" s="1"/>
      <c r="Q79" s="1"/>
      <c r="R79" s="1">
        <v>0.956704999999958</v>
      </c>
      <c r="S79" s="1">
        <v>0.970832999999948</v>
      </c>
      <c r="T79" s="1">
        <v>0.974478999999951</v>
      </c>
      <c r="U79" s="1">
        <v>0.975472999999949</v>
      </c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>
      <c r="A80" s="2"/>
      <c r="B80" s="1"/>
      <c r="C80" s="1"/>
      <c r="D80" s="2"/>
      <c r="E80" s="2"/>
      <c r="F80" s="1"/>
      <c r="G80" s="1"/>
      <c r="H80" s="54">
        <f>26/64</f>
        <v>0.40625</v>
      </c>
      <c r="I80" s="29"/>
      <c r="J80" s="29">
        <v>0.847909999999981</v>
      </c>
      <c r="K80" s="29">
        <v>0.909813999999972</v>
      </c>
      <c r="L80" s="29"/>
      <c r="M80" s="1"/>
      <c r="N80" s="1"/>
      <c r="O80" s="54">
        <f>35/64</f>
        <v>0.546875</v>
      </c>
      <c r="P80" s="1"/>
      <c r="Q80" s="29"/>
      <c r="R80" s="29"/>
      <c r="S80" s="55">
        <v>0.970901999999953</v>
      </c>
      <c r="T80" s="34">
        <v>0.974600999999947</v>
      </c>
      <c r="U80" s="34">
        <v>0.975614999999949</v>
      </c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>
      <c r="A81" s="2"/>
      <c r="B81" s="1"/>
      <c r="C81" s="1"/>
      <c r="D81" s="2"/>
      <c r="E81" s="2"/>
      <c r="F81" s="2"/>
      <c r="G81" s="2"/>
      <c r="H81" s="54">
        <f>27/64</f>
        <v>0.421875</v>
      </c>
      <c r="I81" s="29"/>
      <c r="J81" s="29"/>
      <c r="K81" s="29">
        <v>0.910594999999969</v>
      </c>
      <c r="L81" s="1">
        <v>0.93209999999997</v>
      </c>
      <c r="M81" s="1"/>
      <c r="N81" s="1"/>
      <c r="O81" s="54">
        <f>36/64</f>
        <v>0.5625</v>
      </c>
      <c r="P81" s="1"/>
      <c r="Q81" s="2"/>
      <c r="R81" s="1"/>
      <c r="S81" s="1">
        <v>0.97026299999995</v>
      </c>
      <c r="T81" s="1">
        <v>0.97415999999995</v>
      </c>
      <c r="U81" s="1">
        <v>0.97499299999995</v>
      </c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>
      <c r="A82" s="1"/>
      <c r="B82" s="1"/>
      <c r="C82" s="1"/>
      <c r="D82" s="2"/>
      <c r="E82" s="2"/>
      <c r="F82" s="2"/>
      <c r="G82" s="2"/>
      <c r="H82" s="56">
        <f>28/64</f>
        <v>0.4375</v>
      </c>
      <c r="I82" s="29"/>
      <c r="J82" s="29"/>
      <c r="K82" s="55">
        <v>0.911138999999972</v>
      </c>
      <c r="L82" s="55">
        <v>0.932725999999968</v>
      </c>
      <c r="M82" s="33">
        <v>0.938611999999966</v>
      </c>
      <c r="N82" s="1">
        <v>0.940103999999964</v>
      </c>
      <c r="O82" s="54">
        <f>37/64</f>
        <v>0.578125</v>
      </c>
      <c r="P82" s="29"/>
      <c r="Q82" s="2"/>
      <c r="R82" s="4"/>
      <c r="S82" s="29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>
      <c r="A83" s="2"/>
      <c r="B83" s="1"/>
      <c r="C83" s="1"/>
      <c r="D83" s="29"/>
      <c r="E83" s="29"/>
      <c r="F83" s="2"/>
      <c r="G83" s="2"/>
      <c r="H83" s="54">
        <f>29/64</f>
        <v>0.453125</v>
      </c>
      <c r="I83" s="30"/>
      <c r="J83" s="29"/>
      <c r="K83" s="29">
        <v>0.910876999999973</v>
      </c>
      <c r="L83" s="29">
        <v>0.932685999999966</v>
      </c>
      <c r="M83" s="34">
        <v>0.938936999999965</v>
      </c>
      <c r="N83" s="34">
        <v>0.940394999999967</v>
      </c>
      <c r="O83" s="54"/>
      <c r="P83" s="1"/>
      <c r="Q83" s="41"/>
      <c r="R83" s="4"/>
      <c r="S83" s="4"/>
      <c r="T83" s="4"/>
      <c r="U83" s="4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>
      <c r="A84" s="2"/>
      <c r="B84" s="4"/>
      <c r="C84" s="1"/>
      <c r="D84" s="1"/>
      <c r="E84" s="1"/>
      <c r="F84" s="1"/>
      <c r="G84" s="2"/>
      <c r="H84" s="51">
        <f>30/64</f>
        <v>0.46875</v>
      </c>
      <c r="I84" s="1"/>
      <c r="J84" s="1"/>
      <c r="K84" s="1"/>
      <c r="L84" s="1"/>
      <c r="M84" s="1">
        <v>0.938397999999965</v>
      </c>
      <c r="N84" s="1">
        <v>0.940147999999961</v>
      </c>
      <c r="O84" s="51"/>
      <c r="P84" s="1"/>
      <c r="Q84" s="4"/>
      <c r="R84" s="25"/>
      <c r="S84" s="25"/>
      <c r="T84" s="25"/>
      <c r="U84" s="25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>
      <c r="A85" s="2"/>
      <c r="B85" s="1"/>
      <c r="C85" s="1"/>
      <c r="D85" s="1"/>
      <c r="E85" s="1"/>
      <c r="F85" s="1"/>
      <c r="G85" s="1"/>
      <c r="H85" s="51"/>
      <c r="I85" s="1"/>
      <c r="J85" s="1"/>
      <c r="K85" s="1"/>
      <c r="L85" s="1"/>
      <c r="M85" s="1"/>
      <c r="N85" s="1"/>
      <c r="O85" s="51"/>
      <c r="P85" s="1"/>
      <c r="Q85" s="4"/>
      <c r="R85" s="4"/>
      <c r="S85" s="4"/>
      <c r="T85" s="4"/>
      <c r="U85" s="4"/>
      <c r="V85" s="1"/>
      <c r="W85" s="2"/>
      <c r="X85" s="2"/>
      <c r="Y85" s="2"/>
      <c r="Z85" s="2"/>
      <c r="AA85" s="2"/>
      <c r="AB85" s="2"/>
      <c r="AC85" s="2"/>
      <c r="AD85" s="2"/>
      <c r="AE85" s="2"/>
    </row>
    <row r="86">
      <c r="A86" s="2"/>
      <c r="B86" s="4"/>
      <c r="C86" s="30"/>
      <c r="D86" s="29"/>
      <c r="E86" s="30"/>
      <c r="F86" s="1"/>
      <c r="G86" s="1"/>
      <c r="H86" s="54"/>
      <c r="I86" s="29"/>
      <c r="J86" s="29"/>
      <c r="K86" s="29"/>
      <c r="L86" s="30"/>
      <c r="M86" s="1"/>
      <c r="N86" s="1"/>
      <c r="O86" s="54"/>
      <c r="P86" s="29"/>
      <c r="Q86" s="29"/>
      <c r="R86" s="29"/>
      <c r="S86" s="30"/>
      <c r="T86" s="1"/>
      <c r="U86" s="1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>
      <c r="A87" s="1" t="s">
        <v>894</v>
      </c>
      <c r="B87" s="1">
        <v>0.331122999999999</v>
      </c>
      <c r="C87" s="1">
        <v>0.548709999999998</v>
      </c>
      <c r="D87" s="1">
        <v>0.757732999999986</v>
      </c>
      <c r="E87" s="1">
        <v>0.909066999999972</v>
      </c>
      <c r="F87" s="1">
        <v>0.978903999999951</v>
      </c>
      <c r="G87" s="1">
        <v>0.997851999999973</v>
      </c>
      <c r="H87" s="51" t="s">
        <v>894</v>
      </c>
      <c r="I87" s="1">
        <v>0.331122999999999</v>
      </c>
      <c r="J87" s="1">
        <v>0.548709999999998</v>
      </c>
      <c r="K87" s="1">
        <v>0.757732999999986</v>
      </c>
      <c r="L87" s="1">
        <v>0.909066999999972</v>
      </c>
      <c r="M87" s="1">
        <v>0.978903999999951</v>
      </c>
      <c r="N87" s="1">
        <v>0.997851999999973</v>
      </c>
      <c r="O87" s="51" t="s">
        <v>894</v>
      </c>
      <c r="P87" s="1">
        <v>0.331122999999999</v>
      </c>
      <c r="Q87" s="1">
        <v>0.548709999999998</v>
      </c>
      <c r="R87" s="1">
        <v>0.757732999999986</v>
      </c>
      <c r="S87" s="1">
        <v>0.909066999999972</v>
      </c>
      <c r="T87" s="1">
        <v>0.978903999999951</v>
      </c>
      <c r="U87" s="1">
        <v>0.997851999999973</v>
      </c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>
      <c r="A88" s="1"/>
      <c r="B88" s="1"/>
      <c r="C88" s="1"/>
      <c r="D88" s="1"/>
      <c r="E88" s="34">
        <v>0.89183499999998</v>
      </c>
      <c r="F88" s="34">
        <v>0.911744999999974</v>
      </c>
      <c r="G88" s="34">
        <v>0.916315999999971</v>
      </c>
      <c r="H88" s="51"/>
      <c r="I88" s="1"/>
      <c r="J88" s="1"/>
      <c r="K88" s="1"/>
      <c r="L88" s="34">
        <v>0.937166999999966</v>
      </c>
      <c r="M88" s="34">
        <v>0.95693899999996</v>
      </c>
      <c r="N88" s="34">
        <v>0.961264999999957</v>
      </c>
      <c r="O88" s="51"/>
      <c r="P88" s="1"/>
      <c r="Q88" s="1"/>
      <c r="R88" s="18"/>
      <c r="S88" s="34">
        <v>0.984153999999947</v>
      </c>
      <c r="T88" s="34">
        <v>0.992710999999962</v>
      </c>
      <c r="U88" s="34">
        <v>0.994214999999964</v>
      </c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>
      <c r="A89" s="59" t="s">
        <v>88</v>
      </c>
      <c r="B89" s="60">
        <v>2.0</v>
      </c>
      <c r="C89" s="60">
        <v>4.0</v>
      </c>
      <c r="D89" s="60">
        <v>8.0</v>
      </c>
      <c r="E89" s="59">
        <v>16.0</v>
      </c>
      <c r="F89" s="57">
        <v>32.0</v>
      </c>
      <c r="G89" s="57">
        <v>64.0</v>
      </c>
      <c r="H89" s="61" t="s">
        <v>88</v>
      </c>
      <c r="I89" s="60">
        <v>2.0</v>
      </c>
      <c r="J89" s="60">
        <v>4.0</v>
      </c>
      <c r="K89" s="60">
        <v>8.0</v>
      </c>
      <c r="L89" s="59">
        <v>16.0</v>
      </c>
      <c r="M89" s="57">
        <v>32.0</v>
      </c>
      <c r="N89" s="57">
        <v>64.0</v>
      </c>
      <c r="O89" s="61" t="s">
        <v>88</v>
      </c>
      <c r="P89" s="60">
        <v>2.0</v>
      </c>
      <c r="Q89" s="60">
        <v>4.0</v>
      </c>
      <c r="R89" s="60">
        <v>8.0</v>
      </c>
      <c r="S89" s="59">
        <v>16.0</v>
      </c>
      <c r="T89" s="57">
        <v>32.0</v>
      </c>
      <c r="U89" s="57">
        <v>64.0</v>
      </c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>
      <c r="A90" s="29" t="s">
        <v>892</v>
      </c>
      <c r="B90" s="30"/>
      <c r="C90" s="30"/>
      <c r="D90" s="30"/>
      <c r="E90" s="30"/>
      <c r="F90" s="2"/>
      <c r="G90" s="2"/>
      <c r="H90" s="54" t="s">
        <v>893</v>
      </c>
      <c r="I90" s="30"/>
      <c r="J90" s="30"/>
      <c r="K90" s="30"/>
      <c r="L90" s="30"/>
      <c r="M90" s="2"/>
      <c r="N90" s="2"/>
      <c r="O90" s="62" t="s">
        <v>895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>
      <c r="A91" s="30">
        <v>0.0</v>
      </c>
      <c r="B91" s="29">
        <v>0.629701999999993</v>
      </c>
      <c r="C91" s="29">
        <v>0.786607999999987</v>
      </c>
      <c r="D91" s="29">
        <v>0.846549999999983</v>
      </c>
      <c r="E91" s="29">
        <v>0.866752999999981</v>
      </c>
      <c r="F91" s="1">
        <v>0.872901999999986</v>
      </c>
      <c r="G91" s="1">
        <v>0.874045999999983</v>
      </c>
      <c r="H91" s="54">
        <v>0.0</v>
      </c>
      <c r="I91" s="29">
        <v>0.629745999999995</v>
      </c>
      <c r="J91" s="29">
        <v>0.786704999999988</v>
      </c>
      <c r="K91" s="29">
        <v>0.846528999999983</v>
      </c>
      <c r="L91" s="29">
        <v>0.866759999999981</v>
      </c>
      <c r="M91" s="1">
        <v>0.872887999999985</v>
      </c>
      <c r="N91" s="1">
        <v>0.874068999999984</v>
      </c>
      <c r="O91" s="54">
        <v>0.0</v>
      </c>
      <c r="P91" s="1">
        <v>0.629822999999993</v>
      </c>
      <c r="Q91" s="1">
        <v>0.786759999999986</v>
      </c>
      <c r="R91" s="30">
        <v>0.846555999999983</v>
      </c>
      <c r="S91" s="29">
        <v>0.86674199999998</v>
      </c>
      <c r="T91" s="29">
        <v>0.872896999999986</v>
      </c>
      <c r="U91" s="1">
        <v>0.874074999999983</v>
      </c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>
      <c r="A92" s="1">
        <f>16/64</f>
        <v>0.25</v>
      </c>
      <c r="B92" s="30"/>
      <c r="C92" s="29"/>
      <c r="D92" s="29"/>
      <c r="E92" s="29"/>
      <c r="F92" s="2"/>
      <c r="G92" s="2"/>
      <c r="H92" s="52">
        <f>20/64</f>
        <v>0.3125</v>
      </c>
      <c r="I92" s="30"/>
      <c r="J92" s="29"/>
      <c r="K92" s="29"/>
      <c r="L92" s="29"/>
      <c r="M92" s="2"/>
      <c r="N92" s="2"/>
      <c r="O92" s="54">
        <f>26/64</f>
        <v>0.40625</v>
      </c>
      <c r="P92" s="1">
        <v>0.860048999999983</v>
      </c>
      <c r="Q92" s="1">
        <v>0.947071999999974</v>
      </c>
      <c r="R92" s="1">
        <v>0.970949999999961</v>
      </c>
      <c r="S92" s="1">
        <v>0.978984999999956</v>
      </c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>
      <c r="A93" s="2">
        <f>17/64</f>
        <v>0.265625</v>
      </c>
      <c r="B93" s="30"/>
      <c r="C93" s="29"/>
      <c r="D93" s="29"/>
      <c r="E93" s="29"/>
      <c r="F93" s="2"/>
      <c r="G93" s="2"/>
      <c r="H93" s="52">
        <f>21/64</f>
        <v>0.328125</v>
      </c>
      <c r="I93" s="30"/>
      <c r="J93" s="29"/>
      <c r="K93" s="29"/>
      <c r="L93" s="29"/>
      <c r="M93" s="2"/>
      <c r="N93" s="2"/>
      <c r="O93" s="54">
        <f>27/64</f>
        <v>0.421875</v>
      </c>
      <c r="P93" s="1">
        <v>0.861675999999982</v>
      </c>
      <c r="Q93" s="1">
        <v>0.948871999999973</v>
      </c>
      <c r="R93" s="1">
        <v>0.973225999999959</v>
      </c>
      <c r="S93" s="1">
        <v>0.981049999999954</v>
      </c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>
      <c r="A94" s="2">
        <f>18/64</f>
        <v>0.28125</v>
      </c>
      <c r="B94" s="29">
        <v>0.774993999999991</v>
      </c>
      <c r="C94" s="63"/>
      <c r="D94" s="29"/>
      <c r="E94" s="29"/>
      <c r="F94" s="2"/>
      <c r="G94" s="2"/>
      <c r="H94" s="52">
        <f>22/64</f>
        <v>0.34375</v>
      </c>
      <c r="I94" s="29">
        <v>0.797847999999986</v>
      </c>
      <c r="J94" s="63">
        <v>0.911612999999986</v>
      </c>
      <c r="K94" s="29"/>
      <c r="L94" s="29"/>
      <c r="M94" s="2"/>
      <c r="N94" s="2"/>
      <c r="O94" s="54">
        <f>28/64</f>
        <v>0.4375</v>
      </c>
      <c r="P94" s="1">
        <v>0.862978999999983</v>
      </c>
      <c r="Q94" s="1">
        <v>0.950085999999971</v>
      </c>
      <c r="R94" s="1">
        <v>0.975244999999959</v>
      </c>
      <c r="S94" s="1">
        <v>0.982858999999952</v>
      </c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>
      <c r="A95" s="1">
        <f>19/64</f>
        <v>0.296875</v>
      </c>
      <c r="B95" s="55">
        <v>0.776198999999988</v>
      </c>
      <c r="C95" s="29">
        <v>0.894270999999982</v>
      </c>
      <c r="D95" s="29"/>
      <c r="E95" s="29"/>
      <c r="F95" s="2"/>
      <c r="G95" s="2"/>
      <c r="H95" s="54">
        <f>23/64</f>
        <v>0.359375</v>
      </c>
      <c r="I95" s="55">
        <v>0.798406999999991</v>
      </c>
      <c r="J95" s="63">
        <v>0.912254999999982</v>
      </c>
      <c r="K95" s="29"/>
      <c r="L95" s="29"/>
      <c r="M95" s="2"/>
      <c r="N95" s="2"/>
      <c r="O95" s="54">
        <f>29/64</f>
        <v>0.453125</v>
      </c>
      <c r="P95" s="1">
        <v>0.863514999999984</v>
      </c>
      <c r="Q95" s="1">
        <v>0.950799999999973</v>
      </c>
      <c r="R95" s="1">
        <v>0.977002999999957</v>
      </c>
      <c r="S95" s="1">
        <v>0.984454999999951</v>
      </c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>
      <c r="A96" s="30">
        <f>20/64</f>
        <v>0.3125</v>
      </c>
      <c r="B96" s="29">
        <v>0.776055999999988</v>
      </c>
      <c r="C96" s="55">
        <v>0.894828999999989</v>
      </c>
      <c r="D96" s="29">
        <v>0.929516999999976</v>
      </c>
      <c r="E96" s="29">
        <v>0.941875999999974</v>
      </c>
      <c r="F96" s="27"/>
      <c r="G96" s="27"/>
      <c r="H96" s="52">
        <f>24/64</f>
        <v>0.375</v>
      </c>
      <c r="I96" s="29">
        <v>0.79729199999999</v>
      </c>
      <c r="J96" s="55">
        <v>0.912424999999982</v>
      </c>
      <c r="K96" s="29"/>
      <c r="L96" s="29"/>
      <c r="M96" s="2"/>
      <c r="N96" s="2"/>
      <c r="O96" s="54">
        <f>30/64</f>
        <v>0.46875</v>
      </c>
      <c r="P96" s="34">
        <v>0.863799999999981</v>
      </c>
      <c r="Q96" s="34">
        <v>0.951314999999971</v>
      </c>
      <c r="R96" s="1">
        <v>0.978478999999956</v>
      </c>
      <c r="S96" s="1">
        <v>0.985675999999952</v>
      </c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>
      <c r="A97" s="30">
        <f>21/64</f>
        <v>0.328125</v>
      </c>
      <c r="B97" s="26"/>
      <c r="C97" s="29">
        <v>0.894737999999984</v>
      </c>
      <c r="D97" s="29">
        <v>0.931072999999979</v>
      </c>
      <c r="E97" s="29">
        <v>0.943650999999973</v>
      </c>
      <c r="F97" s="27"/>
      <c r="G97" s="27"/>
      <c r="H97" s="52">
        <f>25/64</f>
        <v>0.390625</v>
      </c>
      <c r="I97" s="29">
        <v>0.795991999999988</v>
      </c>
      <c r="J97" s="29">
        <v>0.912115999999983</v>
      </c>
      <c r="K97" s="29"/>
      <c r="L97" s="29"/>
      <c r="M97" s="2"/>
      <c r="N97" s="2"/>
      <c r="O97" s="54">
        <f>31/64</f>
        <v>0.484375</v>
      </c>
      <c r="P97" s="1">
        <v>0.862830999999984</v>
      </c>
      <c r="Q97" s="1">
        <v>0.951290999999971</v>
      </c>
      <c r="R97" s="1">
        <v>0.979516999999953</v>
      </c>
      <c r="S97" s="1">
        <v>0.986686999999952</v>
      </c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>
      <c r="A98" s="30">
        <f>22/64</f>
        <v>0.34375</v>
      </c>
      <c r="B98" s="64"/>
      <c r="C98" s="64"/>
      <c r="D98" s="29">
        <v>0.93223099999998</v>
      </c>
      <c r="E98" s="29">
        <v>0.945113999999971</v>
      </c>
      <c r="F98" s="27"/>
      <c r="G98" s="27"/>
      <c r="H98" s="54">
        <f>26/64</f>
        <v>0.40625</v>
      </c>
      <c r="I98" s="30"/>
      <c r="J98" s="63">
        <v>0.911703999999985</v>
      </c>
      <c r="K98" s="29">
        <v>0.950965999999969</v>
      </c>
      <c r="L98" s="29">
        <v>0.963530999999963</v>
      </c>
      <c r="M98" s="2"/>
      <c r="N98" s="2"/>
      <c r="O98" s="54">
        <f>32/64</f>
        <v>0.5</v>
      </c>
      <c r="P98" s="1">
        <v>0.861470999999983</v>
      </c>
      <c r="Q98" s="2"/>
      <c r="R98" s="1">
        <v>0.980393999999953</v>
      </c>
      <c r="S98" s="1">
        <v>0.987480999999952</v>
      </c>
      <c r="T98" s="1">
        <v>0.989185999999952</v>
      </c>
      <c r="U98" s="1">
        <v>0.989607999999953</v>
      </c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>
      <c r="A99" s="30">
        <f>23/64</f>
        <v>0.359375</v>
      </c>
      <c r="B99" s="64"/>
      <c r="C99" s="64"/>
      <c r="D99" s="29">
        <v>0.933015999999981</v>
      </c>
      <c r="E99" s="29">
        <v>0.945854999999969</v>
      </c>
      <c r="F99" s="26"/>
      <c r="G99" s="26"/>
      <c r="H99" s="54">
        <f>27/64</f>
        <v>0.421875</v>
      </c>
      <c r="I99" s="30"/>
      <c r="J99" s="29">
        <v>0.910797999999984</v>
      </c>
      <c r="K99" s="29">
        <v>0.951179999999971</v>
      </c>
      <c r="L99" s="29">
        <v>0.964381999999967</v>
      </c>
      <c r="M99" s="2"/>
      <c r="N99" s="2"/>
      <c r="O99" s="54">
        <f>33/64</f>
        <v>0.515625</v>
      </c>
      <c r="P99" s="1"/>
      <c r="Q99" s="2"/>
      <c r="R99" s="1">
        <v>0.981017999999954</v>
      </c>
      <c r="S99" s="1">
        <v>0.988015999999952</v>
      </c>
      <c r="T99" s="1">
        <v>0.989606999999952</v>
      </c>
      <c r="U99" s="1">
        <v>0.990154999999953</v>
      </c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>
      <c r="A100" s="30">
        <f>24/64</f>
        <v>0.375</v>
      </c>
      <c r="B100" s="64"/>
      <c r="C100" s="64"/>
      <c r="D100" s="55">
        <v>0.933164999999975</v>
      </c>
      <c r="E100" s="29">
        <v>0.946612999999972</v>
      </c>
      <c r="F100" s="28">
        <v>0.950081999999976</v>
      </c>
      <c r="G100" s="28">
        <v>0.951060999999971</v>
      </c>
      <c r="H100" s="54">
        <f>28/64</f>
        <v>0.4375</v>
      </c>
      <c r="I100" s="30"/>
      <c r="J100" s="29">
        <v>0.908897999999985</v>
      </c>
      <c r="K100" s="55">
        <v>0.951240999999974</v>
      </c>
      <c r="L100" s="1">
        <v>0.964605999999966</v>
      </c>
      <c r="M100" s="1">
        <v>0.968270999999964</v>
      </c>
      <c r="N100" s="4">
        <v>0.969132999999965</v>
      </c>
      <c r="O100" s="54">
        <f>34/64</f>
        <v>0.53125</v>
      </c>
      <c r="P100" s="1"/>
      <c r="Q100" s="2"/>
      <c r="R100" s="34">
        <v>0.981113999999952</v>
      </c>
      <c r="S100" s="1">
        <v>0.988316999999952</v>
      </c>
      <c r="T100" s="1">
        <v>0.98999999999995</v>
      </c>
      <c r="U100" s="1">
        <v>0.990498999999952</v>
      </c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>
      <c r="A101" s="30">
        <f>25/64</f>
        <v>0.390625</v>
      </c>
      <c r="B101" s="44"/>
      <c r="C101" s="26"/>
      <c r="D101" s="29">
        <v>0.93266199999998</v>
      </c>
      <c r="E101" s="55">
        <v>0.946747999999972</v>
      </c>
      <c r="F101" s="50">
        <v>0.950485999999973</v>
      </c>
      <c r="G101" s="49">
        <v>0.951389999999972</v>
      </c>
      <c r="H101" s="54">
        <f>29/64</f>
        <v>0.453125</v>
      </c>
      <c r="I101" s="30"/>
      <c r="J101" s="30"/>
      <c r="K101" s="29">
        <v>0.950919999999971</v>
      </c>
      <c r="L101" s="34">
        <v>0.964610999999967</v>
      </c>
      <c r="M101" s="34">
        <v>0.968289999999962</v>
      </c>
      <c r="N101" s="34">
        <v>0.969177999999962</v>
      </c>
      <c r="O101" s="53">
        <f>35/64</f>
        <v>0.546875</v>
      </c>
      <c r="P101" s="25"/>
      <c r="Q101" s="41"/>
      <c r="R101" s="4">
        <v>0.980828999999951</v>
      </c>
      <c r="S101" s="34">
        <v>0.988333999999953</v>
      </c>
      <c r="T101" s="34">
        <v>0.990092999999952</v>
      </c>
      <c r="U101" s="34">
        <v>0.990612999999954</v>
      </c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>
      <c r="A102" s="30">
        <f>26/64</f>
        <v>0.40625</v>
      </c>
      <c r="B102" s="27"/>
      <c r="C102" s="65"/>
      <c r="D102" s="29">
        <v>0.931940999999981</v>
      </c>
      <c r="E102" s="29">
        <v>0.946403999999972</v>
      </c>
      <c r="F102" s="29">
        <v>0.950431999999969</v>
      </c>
      <c r="G102" s="30">
        <v>0.951286999999971</v>
      </c>
      <c r="H102" s="54">
        <f>30/64</f>
        <v>0.46875</v>
      </c>
      <c r="I102" s="30"/>
      <c r="J102" s="30"/>
      <c r="K102" s="29">
        <v>0.950051999999972</v>
      </c>
      <c r="L102" s="1">
        <v>0.964017999999965</v>
      </c>
      <c r="M102" s="1">
        <v>0.967730999999966</v>
      </c>
      <c r="N102" s="1">
        <v>0.968805999999963</v>
      </c>
      <c r="O102" s="52">
        <f>9/16</f>
        <v>0.5625</v>
      </c>
      <c r="P102" s="1"/>
      <c r="Q102" s="2"/>
      <c r="R102" s="2"/>
      <c r="S102" s="1">
        <v>0.98805799999995</v>
      </c>
      <c r="T102" s="1">
        <v>0.989979999999954</v>
      </c>
      <c r="U102" s="1">
        <v>0.990432999999952</v>
      </c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>
      <c r="A103" s="30">
        <f>27/64</f>
        <v>0.421875</v>
      </c>
      <c r="B103" s="30"/>
      <c r="C103" s="30"/>
      <c r="D103" s="29"/>
      <c r="E103" s="1"/>
      <c r="F103" s="1">
        <v>0.94963699999997</v>
      </c>
      <c r="G103" s="1">
        <v>0.950652999999972</v>
      </c>
      <c r="H103" s="54">
        <f>31/64</f>
        <v>0.484375</v>
      </c>
      <c r="I103" s="30"/>
      <c r="J103" s="30"/>
      <c r="K103" s="29">
        <v>0.948736999999971</v>
      </c>
      <c r="L103" s="1">
        <v>0.963302999999966</v>
      </c>
      <c r="M103" s="2"/>
      <c r="N103" s="2"/>
      <c r="O103" s="52">
        <f>37/64</f>
        <v>0.578125</v>
      </c>
      <c r="P103" s="1"/>
      <c r="Q103" s="2"/>
      <c r="R103" s="2"/>
      <c r="S103" s="1">
        <v>0.987474999999952</v>
      </c>
      <c r="T103" s="1">
        <v>0.989390999999952</v>
      </c>
      <c r="U103" s="1">
        <v>0.989999999999953</v>
      </c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>
      <c r="A104" s="30">
        <f>28/64</f>
        <v>0.4375</v>
      </c>
      <c r="B104" s="30"/>
      <c r="C104" s="30"/>
      <c r="D104" s="29"/>
      <c r="E104" s="1"/>
      <c r="F104" s="2"/>
      <c r="G104" s="2"/>
      <c r="H104" s="54">
        <f>32/64</f>
        <v>0.5</v>
      </c>
      <c r="I104" s="30"/>
      <c r="J104" s="30"/>
      <c r="K104" s="29">
        <v>0.946662999999975</v>
      </c>
      <c r="L104" s="1">
        <v>0.961678999999966</v>
      </c>
      <c r="M104" s="2"/>
      <c r="N104" s="2"/>
      <c r="O104" s="52">
        <f>19/32</f>
        <v>0.59375</v>
      </c>
      <c r="P104" s="1"/>
      <c r="Q104" s="2"/>
      <c r="R104" s="2"/>
      <c r="S104" s="1">
        <v>0.986642999999951</v>
      </c>
      <c r="T104" s="1">
        <v>0.988668999999951</v>
      </c>
      <c r="U104" s="1">
        <v>0.989179999999953</v>
      </c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>
      <c r="A105" s="30">
        <f>29/64</f>
        <v>0.453125</v>
      </c>
      <c r="B105" s="30"/>
      <c r="C105" s="30"/>
      <c r="D105" s="29"/>
      <c r="E105" s="2"/>
      <c r="F105" s="2"/>
      <c r="G105" s="2"/>
      <c r="H105" s="54">
        <f>33/64</f>
        <v>0.515625</v>
      </c>
      <c r="I105" s="30"/>
      <c r="J105" s="30"/>
      <c r="K105" s="29">
        <v>0.944152999999975</v>
      </c>
      <c r="L105" s="2"/>
      <c r="M105" s="2"/>
      <c r="N105" s="2"/>
      <c r="O105" s="52">
        <f>39/64</f>
        <v>0.609375</v>
      </c>
      <c r="P105" s="1"/>
      <c r="Q105" s="2"/>
      <c r="R105" s="2"/>
      <c r="S105" s="1">
        <v>0.985248999999953</v>
      </c>
      <c r="T105" s="1">
        <v>0.987468999999951</v>
      </c>
      <c r="U105" s="1">
        <v>0.988016999999953</v>
      </c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>
      <c r="A106" s="2"/>
      <c r="B106" s="2"/>
      <c r="C106" s="2"/>
      <c r="D106" s="2"/>
      <c r="E106" s="2"/>
      <c r="F106" s="2"/>
      <c r="G106" s="2"/>
      <c r="H106" s="52">
        <f>34/64</f>
        <v>0.53125</v>
      </c>
      <c r="I106" s="2"/>
      <c r="J106" s="2"/>
      <c r="K106" s="2"/>
      <c r="L106" s="2"/>
      <c r="M106" s="2"/>
      <c r="N106" s="2"/>
      <c r="O106" s="52">
        <f>5/8</f>
        <v>0.625</v>
      </c>
      <c r="P106" s="1"/>
      <c r="Q106" s="2"/>
      <c r="R106" s="2"/>
      <c r="S106" s="1">
        <v>0.983223999999953</v>
      </c>
      <c r="T106" s="1">
        <v>0.985735999999953</v>
      </c>
      <c r="U106" s="1">
        <v>0.986360999999953</v>
      </c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>
      <c r="A107" s="1" t="s">
        <v>894</v>
      </c>
      <c r="B107" s="1">
        <v>0.491576999999994</v>
      </c>
      <c r="C107" s="1">
        <v>0.681307999999991</v>
      </c>
      <c r="D107" s="1">
        <v>0.840372999999983</v>
      </c>
      <c r="E107" s="1">
        <v>0.945002999999975</v>
      </c>
      <c r="F107" s="1">
        <v>0.98867999999995</v>
      </c>
      <c r="G107" s="1">
        <v>0.998277999999989</v>
      </c>
      <c r="H107" s="51" t="s">
        <v>894</v>
      </c>
      <c r="I107" s="1">
        <v>0.491576999999994</v>
      </c>
      <c r="J107" s="1">
        <v>0.681307999999991</v>
      </c>
      <c r="K107" s="1">
        <v>0.840372999999983</v>
      </c>
      <c r="L107" s="1">
        <v>0.945002999999975</v>
      </c>
      <c r="M107" s="1">
        <v>0.98867999999995</v>
      </c>
      <c r="N107" s="1">
        <v>0.998277999999989</v>
      </c>
      <c r="O107" s="51" t="s">
        <v>894</v>
      </c>
      <c r="P107" s="1">
        <v>0.491576999999994</v>
      </c>
      <c r="Q107" s="1">
        <v>0.681307999999991</v>
      </c>
      <c r="R107" s="1">
        <v>0.840372999999983</v>
      </c>
      <c r="S107" s="1">
        <v>0.945002999999975</v>
      </c>
      <c r="T107" s="1">
        <v>0.98867999999995</v>
      </c>
      <c r="U107" s="1">
        <v>0.998277999999989</v>
      </c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>
      <c r="A108" s="2"/>
      <c r="B108" s="2"/>
      <c r="C108" s="2"/>
      <c r="D108" s="2"/>
      <c r="E108" s="18"/>
      <c r="F108" s="18"/>
      <c r="G108" s="25"/>
      <c r="H108" s="52"/>
      <c r="I108" s="2"/>
      <c r="J108" s="2"/>
      <c r="K108" s="2"/>
      <c r="L108" s="34">
        <v>0.968693999999965</v>
      </c>
      <c r="M108" s="34">
        <v>0.979613999999956</v>
      </c>
      <c r="N108" s="34">
        <v>0.981875999999955</v>
      </c>
      <c r="O108" s="51" t="s">
        <v>896</v>
      </c>
      <c r="P108" s="2"/>
      <c r="Q108" s="2"/>
      <c r="R108" s="18">
        <v>0.967009999999965</v>
      </c>
      <c r="S108" s="55">
        <v>0.995207999999965</v>
      </c>
      <c r="T108" s="55">
        <v>0.998129999999987</v>
      </c>
      <c r="U108" s="55">
        <v>0.998493999999992</v>
      </c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>
      <c r="A109" s="66" t="s">
        <v>897</v>
      </c>
      <c r="B109" s="57">
        <v>2.0</v>
      </c>
      <c r="C109" s="57">
        <v>4.0</v>
      </c>
      <c r="D109" s="57">
        <v>8.0</v>
      </c>
      <c r="E109" s="57">
        <v>16.0</v>
      </c>
      <c r="F109" s="57">
        <v>32.0</v>
      </c>
      <c r="G109" s="57">
        <v>64.0</v>
      </c>
      <c r="H109" s="67"/>
      <c r="I109" s="57">
        <v>2.0</v>
      </c>
      <c r="J109" s="57">
        <v>4.0</v>
      </c>
      <c r="K109" s="57">
        <v>8.0</v>
      </c>
      <c r="L109" s="57">
        <v>16.0</v>
      </c>
      <c r="M109" s="57">
        <v>32.0</v>
      </c>
      <c r="N109" s="57">
        <v>64.0</v>
      </c>
      <c r="O109" s="67"/>
      <c r="P109" s="57">
        <v>2.0</v>
      </c>
      <c r="Q109" s="57">
        <v>4.0</v>
      </c>
      <c r="R109" s="57">
        <v>8.0</v>
      </c>
      <c r="S109" s="57">
        <v>16.0</v>
      </c>
      <c r="T109" s="57">
        <v>32.0</v>
      </c>
      <c r="U109" s="57">
        <v>64.0</v>
      </c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>
      <c r="A110" s="1" t="s">
        <v>892</v>
      </c>
      <c r="B110" s="1"/>
      <c r="C110" s="2"/>
      <c r="D110" s="2"/>
      <c r="E110" s="2"/>
      <c r="F110" s="2"/>
      <c r="G110" s="2"/>
      <c r="H110" s="51" t="s">
        <v>893</v>
      </c>
      <c r="I110" s="2"/>
      <c r="J110" s="2"/>
      <c r="K110" s="2"/>
      <c r="L110" s="2"/>
      <c r="M110" s="2"/>
      <c r="N110" s="2"/>
      <c r="O110" s="51" t="s">
        <v>115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>
      <c r="A111" s="1">
        <v>0.0</v>
      </c>
      <c r="B111" s="1">
        <v>0.0305947999999945</v>
      </c>
      <c r="C111" s="1">
        <v>0.136237400000022</v>
      </c>
      <c r="D111" s="1">
        <v>0.0522356000000037</v>
      </c>
      <c r="E111" s="1">
        <v>0.0525946000000041</v>
      </c>
      <c r="F111" s="1">
        <v>0.0526652000000036</v>
      </c>
      <c r="G111" s="1">
        <v>0.0527226000000036</v>
      </c>
      <c r="H111" s="51">
        <v>0.0</v>
      </c>
      <c r="I111" s="2"/>
      <c r="J111" s="2"/>
      <c r="K111" s="2"/>
      <c r="L111" s="2"/>
      <c r="M111" s="2"/>
      <c r="N111" s="2"/>
      <c r="O111" s="51">
        <v>0.0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>
      <c r="A112" s="1">
        <f>24/64</f>
        <v>0.375</v>
      </c>
      <c r="B112" s="1">
        <v>0.216902400000016</v>
      </c>
      <c r="C112" s="2"/>
      <c r="D112" s="1"/>
      <c r="E112" s="2"/>
      <c r="F112" s="2"/>
      <c r="G112" s="2"/>
      <c r="H112" s="51">
        <f>24/64</f>
        <v>0.375</v>
      </c>
      <c r="I112" s="2"/>
      <c r="J112" s="2"/>
      <c r="K112" s="2"/>
      <c r="L112" s="2"/>
      <c r="M112" s="2"/>
      <c r="N112" s="2"/>
      <c r="O112" s="51">
        <f>24/64</f>
        <v>0.375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>
      <c r="A113" s="2">
        <f>25/64</f>
        <v>0.390625</v>
      </c>
      <c r="B113" s="1">
        <v>0.231381200000015</v>
      </c>
      <c r="C113" s="1"/>
      <c r="D113" s="1"/>
      <c r="E113" s="2"/>
      <c r="F113" s="2"/>
      <c r="G113" s="2"/>
      <c r="H113" s="52">
        <f>25/64</f>
        <v>0.390625</v>
      </c>
      <c r="I113" s="2"/>
      <c r="J113" s="2"/>
      <c r="K113" s="2"/>
      <c r="L113" s="2"/>
      <c r="M113" s="2"/>
      <c r="N113" s="2"/>
      <c r="O113" s="52">
        <f>25/64</f>
        <v>0.390625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>
      <c r="A114" s="2">
        <f>26/64</f>
        <v>0.40625</v>
      </c>
      <c r="B114" s="1">
        <v>0.244388000000011</v>
      </c>
      <c r="C114" s="2"/>
      <c r="D114" s="1"/>
      <c r="E114" s="2"/>
      <c r="F114" s="2"/>
      <c r="G114" s="2"/>
      <c r="H114" s="52">
        <f>26/64</f>
        <v>0.40625</v>
      </c>
      <c r="I114" s="2"/>
      <c r="J114" s="2"/>
      <c r="K114" s="2"/>
      <c r="L114" s="2"/>
      <c r="M114" s="2"/>
      <c r="N114" s="2"/>
      <c r="O114" s="52">
        <f>26/64</f>
        <v>0.40625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>
      <c r="A115" s="30">
        <f>27/64</f>
        <v>0.421875</v>
      </c>
      <c r="B115" s="1">
        <v>0.25646980000001</v>
      </c>
      <c r="C115" s="2"/>
      <c r="D115" s="2"/>
      <c r="E115" s="2"/>
      <c r="F115" s="2"/>
      <c r="G115" s="2"/>
      <c r="H115" s="54">
        <f>27/64</f>
        <v>0.421875</v>
      </c>
      <c r="I115" s="2"/>
      <c r="J115" s="2"/>
      <c r="K115" s="2"/>
      <c r="L115" s="2"/>
      <c r="M115" s="2"/>
      <c r="N115" s="2"/>
      <c r="O115" s="54">
        <f>27/64</f>
        <v>0.421875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>
      <c r="A116" s="30">
        <f>28/64</f>
        <v>0.4375</v>
      </c>
      <c r="B116" s="1">
        <v>0.26628660000001</v>
      </c>
      <c r="C116" s="2"/>
      <c r="D116" s="2"/>
      <c r="E116" s="2"/>
      <c r="F116" s="2"/>
      <c r="G116" s="2"/>
      <c r="H116" s="54">
        <f>28/64</f>
        <v>0.4375</v>
      </c>
      <c r="I116" s="2"/>
      <c r="J116" s="2"/>
      <c r="K116" s="2"/>
      <c r="L116" s="2"/>
      <c r="M116" s="2"/>
      <c r="N116" s="2"/>
      <c r="O116" s="54">
        <f>28/64</f>
        <v>0.4375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>
      <c r="A117" s="30">
        <f>29/64</f>
        <v>0.453125</v>
      </c>
      <c r="B117" s="1">
        <v>0.275408400000005</v>
      </c>
      <c r="C117" s="2"/>
      <c r="D117" s="2"/>
      <c r="E117" s="2"/>
      <c r="F117" s="2"/>
      <c r="G117" s="2"/>
      <c r="H117" s="54">
        <f>29/64</f>
        <v>0.453125</v>
      </c>
      <c r="I117" s="2"/>
      <c r="J117" s="2"/>
      <c r="K117" s="2"/>
      <c r="L117" s="2"/>
      <c r="M117" s="2"/>
      <c r="N117" s="2"/>
      <c r="O117" s="54">
        <f>29/64</f>
        <v>0.453125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>
      <c r="A118" s="30">
        <f>30/64</f>
        <v>0.46875</v>
      </c>
      <c r="B118" s="1">
        <v>0.282710600000003</v>
      </c>
      <c r="C118" s="1">
        <v>0.0877220000000212</v>
      </c>
      <c r="D118" s="2"/>
      <c r="E118" s="2"/>
      <c r="F118" s="2"/>
      <c r="G118" s="2"/>
      <c r="H118" s="54">
        <f>30/64</f>
        <v>0.46875</v>
      </c>
      <c r="I118" s="2"/>
      <c r="J118" s="2"/>
      <c r="K118" s="2"/>
      <c r="L118" s="2"/>
      <c r="M118" s="2"/>
      <c r="N118" s="2"/>
      <c r="O118" s="54">
        <f>30/64</f>
        <v>0.46875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>
      <c r="A119" s="30">
        <f>31/64</f>
        <v>0.484375</v>
      </c>
      <c r="B119" s="1">
        <v>0.288598400000008</v>
      </c>
      <c r="C119" s="1">
        <v>0.0900262000000227</v>
      </c>
      <c r="D119" s="1"/>
      <c r="E119" s="1"/>
      <c r="F119" s="1"/>
      <c r="G119" s="1"/>
      <c r="H119" s="54">
        <f>31/64</f>
        <v>0.484375</v>
      </c>
      <c r="I119" s="1"/>
      <c r="J119" s="2"/>
      <c r="K119" s="2"/>
      <c r="L119" s="2"/>
      <c r="M119" s="2"/>
      <c r="N119" s="2"/>
      <c r="O119" s="54">
        <f>31/64</f>
        <v>0.484375</v>
      </c>
      <c r="P119" s="1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>
      <c r="A120" s="30">
        <f>32/64</f>
        <v>0.5</v>
      </c>
      <c r="B120" s="1">
        <v>0.292032800000004</v>
      </c>
      <c r="C120" s="1">
        <v>0.0935952000000226</v>
      </c>
      <c r="D120" s="1">
        <v>0.161538400000018</v>
      </c>
      <c r="E120" s="1">
        <v>0.167365000000015</v>
      </c>
      <c r="F120" s="1">
        <v>0.167879600000018</v>
      </c>
      <c r="G120" s="1">
        <v>0.168419600000018</v>
      </c>
      <c r="H120" s="54">
        <f>32/64</f>
        <v>0.5</v>
      </c>
      <c r="I120" s="1">
        <v>0.16427820000002</v>
      </c>
      <c r="J120" s="1">
        <v>0.081553200000019</v>
      </c>
      <c r="K120" s="1">
        <v>0.0910028000000229</v>
      </c>
      <c r="L120" s="2"/>
      <c r="M120" s="2"/>
      <c r="N120" s="2"/>
      <c r="O120" s="54">
        <f>32/64</f>
        <v>0.5</v>
      </c>
      <c r="P120" s="1"/>
      <c r="Q120" s="1"/>
      <c r="R120" s="1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>
      <c r="A121" s="30">
        <f>33/64</f>
        <v>0.515625</v>
      </c>
      <c r="B121" s="34">
        <v>0.292559600000002</v>
      </c>
      <c r="C121" s="2"/>
      <c r="D121" s="1">
        <v>0.168616400000016</v>
      </c>
      <c r="E121" s="1"/>
      <c r="F121" s="1"/>
      <c r="G121" s="1"/>
      <c r="H121" s="54">
        <f>33/64</f>
        <v>0.515625</v>
      </c>
      <c r="I121" s="1"/>
      <c r="J121" s="2"/>
      <c r="K121" s="2"/>
      <c r="L121" s="2"/>
      <c r="M121" s="2"/>
      <c r="N121" s="2"/>
      <c r="O121" s="54">
        <f>33/64</f>
        <v>0.515625</v>
      </c>
      <c r="P121" s="1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>
      <c r="A122" s="30">
        <f>34/64</f>
        <v>0.53125</v>
      </c>
      <c r="B122" s="1">
        <v>0.291051000000005</v>
      </c>
      <c r="C122" s="2"/>
      <c r="D122" s="2"/>
      <c r="E122" s="2"/>
      <c r="F122" s="2"/>
      <c r="G122" s="2"/>
      <c r="H122" s="54">
        <f>34/64</f>
        <v>0.53125</v>
      </c>
      <c r="I122" s="2"/>
      <c r="J122" s="2"/>
      <c r="K122" s="2"/>
      <c r="L122" s="2"/>
      <c r="M122" s="2"/>
      <c r="N122" s="2"/>
      <c r="O122" s="54">
        <f>34/64</f>
        <v>0.53125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>
      <c r="A123" s="30">
        <f>35/64</f>
        <v>0.546875</v>
      </c>
      <c r="B123" s="1">
        <v>0.286616400000004</v>
      </c>
      <c r="C123" s="2"/>
      <c r="D123" s="2"/>
      <c r="E123" s="2"/>
      <c r="F123" s="2"/>
      <c r="G123" s="2"/>
      <c r="H123" s="54">
        <f>35/64</f>
        <v>0.546875</v>
      </c>
      <c r="I123" s="2"/>
      <c r="J123" s="2"/>
      <c r="K123" s="2"/>
      <c r="L123" s="2"/>
      <c r="M123" s="2"/>
      <c r="N123" s="2"/>
      <c r="O123" s="54">
        <f>35/64</f>
        <v>0.546875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>
      <c r="A124" s="30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>
      <c r="A125" s="30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>
      <c r="A126" s="30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>
      <c r="A127" s="30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>
      <c r="A128" s="30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>
      <c r="A129" s="29" t="s">
        <v>894</v>
      </c>
      <c r="B129" s="1">
        <v>0.897920000000031</v>
      </c>
      <c r="C129" s="1">
        <v>0.946640400000026</v>
      </c>
      <c r="D129" s="1">
        <v>0.988049000000005</v>
      </c>
      <c r="E129" s="1">
        <v>0.997910599999999</v>
      </c>
      <c r="F129" s="1">
        <v>0.9999148</v>
      </c>
      <c r="G129" s="1">
        <v>0.999968199999999</v>
      </c>
      <c r="H129" s="29" t="s">
        <v>894</v>
      </c>
      <c r="I129" s="1">
        <v>0.897920000000031</v>
      </c>
      <c r="J129" s="1">
        <v>0.946640400000026</v>
      </c>
      <c r="K129" s="1">
        <v>0.988049000000005</v>
      </c>
      <c r="L129" s="1">
        <v>0.997910599999999</v>
      </c>
      <c r="M129" s="1">
        <v>0.9999148</v>
      </c>
      <c r="N129" s="1">
        <v>0.999968199999999</v>
      </c>
      <c r="O129" s="29" t="s">
        <v>894</v>
      </c>
      <c r="P129" s="1">
        <v>0.897920000000031</v>
      </c>
      <c r="Q129" s="1">
        <v>0.946640400000026</v>
      </c>
      <c r="R129" s="1">
        <v>0.988049000000005</v>
      </c>
      <c r="S129" s="1">
        <v>0.997910599999999</v>
      </c>
      <c r="T129" s="1">
        <v>0.9999148</v>
      </c>
      <c r="U129" s="1">
        <v>0.999968199999999</v>
      </c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>
      <c r="A131" s="68" t="s">
        <v>898</v>
      </c>
      <c r="B131" s="57">
        <v>2.0</v>
      </c>
      <c r="C131" s="57">
        <v>4.0</v>
      </c>
      <c r="D131" s="57">
        <v>8.0</v>
      </c>
      <c r="E131" s="57">
        <v>16.0</v>
      </c>
      <c r="F131" s="57">
        <v>32.0</v>
      </c>
      <c r="G131" s="57">
        <v>64.0</v>
      </c>
      <c r="H131" s="68" t="s">
        <v>898</v>
      </c>
      <c r="I131" s="57">
        <v>2.0</v>
      </c>
      <c r="J131" s="57">
        <v>4.0</v>
      </c>
      <c r="K131" s="57">
        <v>8.0</v>
      </c>
      <c r="L131" s="57">
        <v>16.0</v>
      </c>
      <c r="M131" s="57">
        <v>32.0</v>
      </c>
      <c r="N131" s="57">
        <v>64.0</v>
      </c>
      <c r="O131" s="68" t="s">
        <v>898</v>
      </c>
      <c r="P131" s="1">
        <v>2.0</v>
      </c>
      <c r="Q131" s="1">
        <v>4.0</v>
      </c>
      <c r="R131" s="1">
        <v>8.0</v>
      </c>
      <c r="S131" s="1">
        <v>16.0</v>
      </c>
      <c r="T131" s="1">
        <v>32.0</v>
      </c>
      <c r="U131" s="1">
        <v>64.0</v>
      </c>
      <c r="V131" s="51" t="s">
        <v>115</v>
      </c>
      <c r="W131" s="1">
        <v>64.0</v>
      </c>
      <c r="X131" s="1">
        <v>64.0</v>
      </c>
      <c r="Y131" s="1">
        <v>32.0</v>
      </c>
      <c r="Z131" s="1">
        <v>32.0</v>
      </c>
      <c r="AA131" s="1">
        <v>16.0</v>
      </c>
      <c r="AB131" s="1">
        <v>16.0</v>
      </c>
      <c r="AC131" s="1">
        <v>8.0</v>
      </c>
      <c r="AD131" s="1">
        <v>8.0</v>
      </c>
      <c r="AE131" s="1"/>
    </row>
    <row r="132">
      <c r="A132" s="1" t="s">
        <v>892</v>
      </c>
      <c r="B132" s="2"/>
      <c r="C132" s="2"/>
      <c r="D132" s="2"/>
      <c r="E132" s="2"/>
      <c r="F132" s="2"/>
      <c r="G132" s="2"/>
      <c r="H132" s="51" t="s">
        <v>893</v>
      </c>
      <c r="I132" s="2"/>
      <c r="J132" s="2"/>
      <c r="K132" s="2"/>
      <c r="L132" s="2"/>
      <c r="M132" s="2"/>
      <c r="N132" s="2"/>
      <c r="O132" s="51" t="s">
        <v>115</v>
      </c>
      <c r="P132" s="2"/>
      <c r="Q132" s="2"/>
      <c r="R132" s="2"/>
      <c r="S132" s="2"/>
      <c r="T132" s="2"/>
      <c r="U132" s="2"/>
      <c r="V132" s="2">
        <f>20/64</f>
        <v>0.3125</v>
      </c>
      <c r="W132" s="1"/>
      <c r="X132" s="1"/>
      <c r="Y132" s="1"/>
      <c r="Z132" s="1"/>
      <c r="AA132" s="1"/>
      <c r="AB132" s="1"/>
      <c r="AC132" s="1">
        <v>-0.6</v>
      </c>
      <c r="AD132" s="1">
        <v>0.997181999999985</v>
      </c>
      <c r="AE132" s="1"/>
    </row>
    <row r="133">
      <c r="A133" s="1">
        <v>0.0</v>
      </c>
      <c r="B133" s="1">
        <v>0.962103999999964</v>
      </c>
      <c r="C133" s="1">
        <v>0.986767999999971</v>
      </c>
      <c r="D133" s="1">
        <v>0.989010999999972</v>
      </c>
      <c r="E133" s="1">
        <v>0.989607999999973</v>
      </c>
      <c r="F133" s="1">
        <v>0.989877999999975</v>
      </c>
      <c r="G133" s="2"/>
      <c r="H133" s="51">
        <v>0.0</v>
      </c>
      <c r="I133" s="1"/>
      <c r="J133" s="1">
        <v>0.98671399999997</v>
      </c>
      <c r="K133" s="1">
        <v>0.989017999999972</v>
      </c>
      <c r="L133" s="1">
        <v>0.989616999999974</v>
      </c>
      <c r="M133" s="1">
        <v>0.989879999999975</v>
      </c>
      <c r="N133" s="1">
        <v>0.989931999999977</v>
      </c>
      <c r="O133" s="1">
        <v>0.0</v>
      </c>
      <c r="P133" s="1">
        <v>0.962110999999964</v>
      </c>
      <c r="Q133" s="1">
        <v>0.98674899999997</v>
      </c>
      <c r="R133" s="1">
        <v>0.989010999999972</v>
      </c>
      <c r="S133" s="1">
        <v>0.989601999999974</v>
      </c>
      <c r="T133" s="1">
        <v>0.989876999999975</v>
      </c>
      <c r="U133" s="1">
        <v>0.989936999999977</v>
      </c>
      <c r="V133" s="2">
        <f>21/64</f>
        <v>0.328125</v>
      </c>
      <c r="W133" s="1"/>
      <c r="X133" s="1"/>
      <c r="Y133" s="1"/>
      <c r="Z133" s="1"/>
      <c r="AA133" s="1"/>
      <c r="AB133" s="1"/>
      <c r="AC133" s="1">
        <v>-0.3</v>
      </c>
      <c r="AD133" s="18">
        <v>0.997237999999985</v>
      </c>
      <c r="AE133" s="18"/>
    </row>
    <row r="134">
      <c r="A134" s="2">
        <f>18/64</f>
        <v>0.28125</v>
      </c>
      <c r="B134" s="1">
        <v>0.979753999999966</v>
      </c>
      <c r="C134" s="2"/>
      <c r="D134" s="2"/>
      <c r="E134" s="2"/>
      <c r="F134" s="2"/>
      <c r="G134" s="2"/>
      <c r="H134" s="51">
        <f>27/64</f>
        <v>0.421875</v>
      </c>
      <c r="I134" s="1">
        <v>0.983930999999971</v>
      </c>
      <c r="J134" s="2"/>
      <c r="K134" s="2"/>
      <c r="L134" s="2"/>
      <c r="M134" s="2"/>
      <c r="N134" s="2"/>
      <c r="O134" s="52">
        <f>32/64</f>
        <v>0.5</v>
      </c>
      <c r="P134" s="1">
        <v>0.989684999999977</v>
      </c>
      <c r="Q134" s="2"/>
      <c r="R134" s="2"/>
      <c r="S134" s="2"/>
      <c r="T134" s="2"/>
      <c r="U134" s="2"/>
      <c r="V134" s="2">
        <f>22/64</f>
        <v>0.34375</v>
      </c>
      <c r="W134" s="1"/>
      <c r="X134" s="1"/>
      <c r="Y134" s="1"/>
      <c r="Z134" s="1"/>
      <c r="AA134" s="1"/>
      <c r="AB134" s="1"/>
      <c r="AC134" s="1">
        <v>-0.3</v>
      </c>
      <c r="AD134" s="1">
        <v>0.997200999999984</v>
      </c>
      <c r="AE134" s="1"/>
    </row>
    <row r="135">
      <c r="A135" s="1">
        <f>19/64</f>
        <v>0.296875</v>
      </c>
      <c r="B135" s="1">
        <v>0.979873999999969</v>
      </c>
      <c r="C135" s="2"/>
      <c r="D135" s="2"/>
      <c r="E135" s="2"/>
      <c r="F135" s="2"/>
      <c r="G135" s="2"/>
      <c r="H135" s="51">
        <f>28/64</f>
        <v>0.4375</v>
      </c>
      <c r="I135" s="1">
        <v>0.984031999999971</v>
      </c>
      <c r="J135" s="2"/>
      <c r="K135" s="2"/>
      <c r="L135" s="2"/>
      <c r="M135" s="2"/>
      <c r="N135" s="2"/>
      <c r="O135" s="2">
        <f>33/64</f>
        <v>0.515625</v>
      </c>
      <c r="P135" s="1">
        <v>0.989863999999976</v>
      </c>
      <c r="Q135" s="2"/>
      <c r="R135" s="2"/>
      <c r="S135" s="2"/>
      <c r="T135" s="2"/>
      <c r="U135" s="2"/>
      <c r="V135" s="1">
        <f>23/64</f>
        <v>0.359375</v>
      </c>
      <c r="W135" s="1"/>
      <c r="X135" s="1"/>
      <c r="Y135" s="1"/>
      <c r="Z135" s="1"/>
      <c r="AA135" s="1">
        <v>1.0</v>
      </c>
      <c r="AB135" s="1">
        <v>0.998561999999989</v>
      </c>
      <c r="AC135" s="1">
        <v>0.4</v>
      </c>
      <c r="AD135" s="1">
        <v>0.997090999999984</v>
      </c>
      <c r="AE135" s="1"/>
    </row>
    <row r="136">
      <c r="A136" s="30">
        <f>20/64</f>
        <v>0.3125</v>
      </c>
      <c r="B136" s="49">
        <v>0.980079999999967</v>
      </c>
      <c r="C136" s="4">
        <v>0.993318999999977</v>
      </c>
      <c r="D136" s="2"/>
      <c r="E136" s="2"/>
      <c r="F136" s="2"/>
      <c r="G136" s="2"/>
      <c r="H136" s="51">
        <f>29/64</f>
        <v>0.453125</v>
      </c>
      <c r="I136" s="34">
        <v>0.984098999999972</v>
      </c>
      <c r="J136" s="1">
        <v>0.995450999999982</v>
      </c>
      <c r="K136" s="2"/>
      <c r="L136" s="2"/>
      <c r="M136" s="2"/>
      <c r="N136" s="2"/>
      <c r="O136" s="2">
        <f>34/64</f>
        <v>0.53125</v>
      </c>
      <c r="P136" s="1">
        <v>0.990059999999974</v>
      </c>
      <c r="Q136" s="2"/>
      <c r="R136" s="2"/>
      <c r="S136" s="2"/>
      <c r="T136" s="2"/>
      <c r="U136" s="2"/>
      <c r="V136" s="1">
        <f>24/64</f>
        <v>0.375</v>
      </c>
      <c r="W136" s="1">
        <v>0.8</v>
      </c>
      <c r="X136" s="1">
        <v>0.999033999999992</v>
      </c>
      <c r="Y136" s="1">
        <v>1.1</v>
      </c>
      <c r="Z136" s="1">
        <v>0.998954999999992</v>
      </c>
      <c r="AA136" s="1">
        <v>1.2</v>
      </c>
      <c r="AB136" s="18">
        <v>0.99864799999999</v>
      </c>
      <c r="AC136" s="1">
        <v>0.4</v>
      </c>
      <c r="AD136" s="1">
        <v>0.996933999999983</v>
      </c>
      <c r="AE136" s="1"/>
    </row>
    <row r="137">
      <c r="A137" s="2">
        <f>21/64</f>
        <v>0.328125</v>
      </c>
      <c r="B137" s="30">
        <v>0.98000399999997</v>
      </c>
      <c r="C137" s="1">
        <v>0.993397999999978</v>
      </c>
      <c r="D137" s="2"/>
      <c r="E137" s="2"/>
      <c r="F137" s="2"/>
      <c r="G137" s="2"/>
      <c r="H137" s="51">
        <f>30/64</f>
        <v>0.46875</v>
      </c>
      <c r="I137" s="1">
        <v>0.984025999999972</v>
      </c>
      <c r="J137" s="1">
        <v>0.995627999999983</v>
      </c>
      <c r="K137" s="2"/>
      <c r="L137" s="2"/>
      <c r="M137" s="2"/>
      <c r="N137" s="2"/>
      <c r="O137" s="2">
        <f>35/64</f>
        <v>0.546875</v>
      </c>
      <c r="P137" s="1">
        <v>0.990111999999975</v>
      </c>
      <c r="Q137" s="2"/>
      <c r="R137" s="2"/>
      <c r="S137" s="2"/>
      <c r="T137" s="2"/>
      <c r="U137" s="2"/>
      <c r="V137" s="2">
        <f>25/64</f>
        <v>0.390625</v>
      </c>
      <c r="W137" s="1">
        <v>1.3</v>
      </c>
      <c r="X137" s="1">
        <v>0.999097999999993</v>
      </c>
      <c r="Y137" s="1">
        <v>1.1</v>
      </c>
      <c r="Z137" s="18">
        <v>0.999011999999992</v>
      </c>
      <c r="AA137" s="1">
        <v>1.4</v>
      </c>
      <c r="AB137" s="1">
        <v>0.99860499999999</v>
      </c>
      <c r="AC137" s="1"/>
      <c r="AD137" s="2"/>
      <c r="AE137" s="2"/>
    </row>
    <row r="138">
      <c r="A138" s="1">
        <f>22/64</f>
        <v>0.34375</v>
      </c>
      <c r="B138" s="29">
        <v>0.979963999999966</v>
      </c>
      <c r="C138" s="1">
        <v>0.993467999999978</v>
      </c>
      <c r="D138" s="2"/>
      <c r="E138" s="2"/>
      <c r="F138" s="2"/>
      <c r="G138" s="2"/>
      <c r="H138" s="52">
        <f>31/64</f>
        <v>0.484375</v>
      </c>
      <c r="I138" s="1">
        <v>0.98399799999997</v>
      </c>
      <c r="J138" s="1">
        <v>0.995705999999981</v>
      </c>
      <c r="K138" s="2"/>
      <c r="L138" s="2"/>
      <c r="M138" s="2"/>
      <c r="N138" s="2"/>
      <c r="O138" s="2">
        <f>36/64</f>
        <v>0.5625</v>
      </c>
      <c r="P138" s="1">
        <v>0.990177999999973</v>
      </c>
      <c r="Q138" s="2"/>
      <c r="R138" s="2"/>
      <c r="S138" s="2"/>
      <c r="T138" s="2"/>
      <c r="U138" s="2"/>
      <c r="V138" s="2">
        <f>26/64</f>
        <v>0.40625</v>
      </c>
      <c r="W138" s="1">
        <v>1.3</v>
      </c>
      <c r="X138" s="18">
        <v>0.999099999999993</v>
      </c>
      <c r="Y138" s="1">
        <v>2.1</v>
      </c>
      <c r="Z138" s="1">
        <v>0.998986999999992</v>
      </c>
      <c r="AA138" s="1"/>
      <c r="AB138" s="2"/>
      <c r="AC138" s="2"/>
      <c r="AD138" s="2"/>
      <c r="AE138" s="2"/>
    </row>
    <row r="139">
      <c r="A139" s="2">
        <f>23/64</f>
        <v>0.359375</v>
      </c>
      <c r="B139" s="2"/>
      <c r="C139" s="34">
        <v>0.993556999999979</v>
      </c>
      <c r="D139" s="1">
        <v>0.994182999999982</v>
      </c>
      <c r="E139" s="2"/>
      <c r="F139" s="2"/>
      <c r="G139" s="2"/>
      <c r="H139" s="52">
        <f>32/64</f>
        <v>0.5</v>
      </c>
      <c r="I139" s="1">
        <v>0.983838999999968</v>
      </c>
      <c r="J139" s="1">
        <v>0.995753999999981</v>
      </c>
      <c r="K139" s="2"/>
      <c r="L139" s="2"/>
      <c r="M139" s="2"/>
      <c r="N139" s="2"/>
      <c r="O139" s="2">
        <f>37/64</f>
        <v>0.578125</v>
      </c>
      <c r="P139" s="34">
        <v>0.990297999999973</v>
      </c>
      <c r="Q139" s="1">
        <v>0.997601999999987</v>
      </c>
      <c r="R139" s="2"/>
      <c r="S139" s="2"/>
      <c r="T139" s="2"/>
      <c r="U139" s="2"/>
      <c r="V139" s="2">
        <f>27/64</f>
        <v>0.421875</v>
      </c>
      <c r="W139" s="1">
        <v>1.9</v>
      </c>
      <c r="X139" s="1">
        <v>0.999042999999993</v>
      </c>
      <c r="Y139" s="2"/>
      <c r="Z139" s="2"/>
      <c r="AA139" s="2"/>
      <c r="AB139" s="2"/>
      <c r="AC139" s="2"/>
      <c r="AD139" s="2"/>
      <c r="AE139" s="2"/>
    </row>
    <row r="140">
      <c r="A140" s="2">
        <f>24/64</f>
        <v>0.375</v>
      </c>
      <c r="B140" s="2"/>
      <c r="C140" s="1">
        <v>0.993509999999979</v>
      </c>
      <c r="D140" s="1">
        <v>0.994266999999981</v>
      </c>
      <c r="E140" s="2"/>
      <c r="F140" s="2"/>
      <c r="G140" s="2"/>
      <c r="H140" s="52">
        <f>33/64</f>
        <v>0.515625</v>
      </c>
      <c r="I140" s="2"/>
      <c r="J140" s="1">
        <v>0.995802999999982</v>
      </c>
      <c r="K140" s="1">
        <v>0.996417999999985</v>
      </c>
      <c r="L140" s="2"/>
      <c r="M140" s="2"/>
      <c r="N140" s="2"/>
      <c r="O140" s="2">
        <f>38/64</f>
        <v>0.59375</v>
      </c>
      <c r="P140" s="1">
        <v>0.990154999999973</v>
      </c>
      <c r="Q140" s="1">
        <v>0.997681999999987</v>
      </c>
      <c r="R140" s="2"/>
      <c r="S140" s="2"/>
      <c r="T140" s="2"/>
      <c r="U140" s="2"/>
      <c r="V140" s="1" t="s">
        <v>893</v>
      </c>
      <c r="W140" s="2"/>
      <c r="X140" s="2"/>
      <c r="Y140" s="2"/>
      <c r="Z140" s="2"/>
      <c r="AA140" s="2"/>
      <c r="AB140" s="2"/>
      <c r="AC140" s="2"/>
      <c r="AD140" s="2"/>
      <c r="AE140" s="2"/>
    </row>
    <row r="141">
      <c r="A141" s="2">
        <f>25/64</f>
        <v>0.390625</v>
      </c>
      <c r="B141" s="2"/>
      <c r="C141" s="1">
        <v>0.993503999999978</v>
      </c>
      <c r="D141" s="1">
        <v>0.994421999999981</v>
      </c>
      <c r="E141" s="2"/>
      <c r="F141" s="2"/>
      <c r="G141" s="2"/>
      <c r="H141" s="51">
        <f>34/64</f>
        <v>0.53125</v>
      </c>
      <c r="I141" s="1"/>
      <c r="J141" s="34">
        <v>0.995820999999983</v>
      </c>
      <c r="K141" s="1">
        <v>0.996574999999985</v>
      </c>
      <c r="L141" s="2"/>
      <c r="M141" s="2"/>
      <c r="N141" s="2"/>
      <c r="O141" s="2">
        <f>39/64</f>
        <v>0.609375</v>
      </c>
      <c r="P141" s="1">
        <v>0.990091999999973</v>
      </c>
      <c r="Q141" s="1">
        <v>0.997766999999987</v>
      </c>
      <c r="R141" s="2"/>
      <c r="S141" s="2"/>
      <c r="T141" s="2"/>
      <c r="U141" s="2"/>
      <c r="V141" s="2">
        <f>20/64</f>
        <v>0.3125</v>
      </c>
      <c r="W141" s="2"/>
      <c r="X141" s="2"/>
      <c r="Y141" s="2"/>
      <c r="Z141" s="2"/>
      <c r="AA141" s="1">
        <v>0.5</v>
      </c>
      <c r="AB141" s="1">
        <v>0.996608999999984</v>
      </c>
      <c r="AC141" s="2"/>
      <c r="AD141" s="2"/>
      <c r="AE141" s="2"/>
    </row>
    <row r="142">
      <c r="A142" s="1">
        <f>26/64</f>
        <v>0.40625</v>
      </c>
      <c r="B142" s="2"/>
      <c r="C142" s="2"/>
      <c r="D142" s="1">
        <v>0.99449199999998</v>
      </c>
      <c r="E142" s="2"/>
      <c r="F142" s="2"/>
      <c r="G142" s="2"/>
      <c r="H142" s="52">
        <f>35/64</f>
        <v>0.546875</v>
      </c>
      <c r="I142" s="1"/>
      <c r="J142" s="1">
        <v>0.995777999999982</v>
      </c>
      <c r="K142" s="1">
        <v>0.996608999999985</v>
      </c>
      <c r="L142" s="2"/>
      <c r="M142" s="2"/>
      <c r="N142" s="2"/>
      <c r="O142" s="2">
        <f>40/64</f>
        <v>0.625</v>
      </c>
      <c r="P142" s="2"/>
      <c r="Q142" s="34">
        <v>0.997815999999988</v>
      </c>
      <c r="R142" s="1">
        <v>0.998137999999989</v>
      </c>
      <c r="S142" s="2"/>
      <c r="T142" s="2"/>
      <c r="U142" s="2"/>
      <c r="V142" s="2">
        <f>21/64</f>
        <v>0.328125</v>
      </c>
      <c r="W142" s="2"/>
      <c r="X142" s="2"/>
      <c r="Y142" s="2"/>
      <c r="Z142" s="2"/>
      <c r="AA142" s="18">
        <v>0.8</v>
      </c>
      <c r="AB142" s="18">
        <v>0.996619999999985</v>
      </c>
      <c r="AC142" s="2"/>
      <c r="AD142" s="2"/>
      <c r="AE142" s="2"/>
    </row>
    <row r="143">
      <c r="A143" s="2">
        <f>27/64</f>
        <v>0.421875</v>
      </c>
      <c r="B143" s="2"/>
      <c r="C143" s="2"/>
      <c r="D143" s="1">
        <v>0.994504999999979</v>
      </c>
      <c r="E143" s="2"/>
      <c r="F143" s="2"/>
      <c r="G143" s="2"/>
      <c r="H143" s="52">
        <f>36/64</f>
        <v>0.5625</v>
      </c>
      <c r="I143" s="1"/>
      <c r="J143" s="1"/>
      <c r="K143" s="1">
        <v>0.996647999999986</v>
      </c>
      <c r="L143" s="1">
        <v>0.996824999999986</v>
      </c>
      <c r="M143" s="1">
        <v>0.996959999999986</v>
      </c>
      <c r="N143" s="2"/>
      <c r="O143" s="2">
        <f>41/64</f>
        <v>0.640625</v>
      </c>
      <c r="P143" s="2"/>
      <c r="Q143" s="1">
        <v>0.997774999999987</v>
      </c>
      <c r="R143" s="1">
        <v>0.998241999999989</v>
      </c>
      <c r="S143" s="2"/>
      <c r="T143" s="2"/>
      <c r="U143" s="2"/>
      <c r="V143" s="2">
        <f>22/64</f>
        <v>0.34375</v>
      </c>
      <c r="W143" s="1">
        <v>1.3</v>
      </c>
      <c r="X143" s="1">
        <v>0.997486999999987</v>
      </c>
      <c r="Y143" s="1">
        <v>1.2</v>
      </c>
      <c r="Z143" s="1">
        <v>0.997372999999986</v>
      </c>
      <c r="AA143" s="1">
        <v>1.1</v>
      </c>
      <c r="AB143" s="1">
        <v>0.996600999999984</v>
      </c>
      <c r="AC143" s="2"/>
      <c r="AD143" s="2"/>
      <c r="AE143" s="2"/>
    </row>
    <row r="144">
      <c r="A144" s="2">
        <f>28/64</f>
        <v>0.4375</v>
      </c>
      <c r="B144" s="2"/>
      <c r="C144" s="2"/>
      <c r="D144" s="1">
        <v>0.994604999999979</v>
      </c>
      <c r="E144" s="1">
        <v>0.994870999999981</v>
      </c>
      <c r="F144" s="1">
        <v>0.99504699999998</v>
      </c>
      <c r="G144" s="2"/>
      <c r="H144" s="52">
        <f>37/64</f>
        <v>0.578125</v>
      </c>
      <c r="I144" s="2"/>
      <c r="J144" s="1"/>
      <c r="K144" s="34">
        <v>0.996711999999985</v>
      </c>
      <c r="L144" s="34">
        <v>0.996897999999985</v>
      </c>
      <c r="M144" s="4">
        <v>0.996969999999985</v>
      </c>
      <c r="N144" s="2"/>
      <c r="O144" s="2">
        <f>42/64</f>
        <v>0.65625</v>
      </c>
      <c r="P144" s="2"/>
      <c r="Q144" s="1">
        <v>0.997798999999988</v>
      </c>
      <c r="R144" s="1">
        <v>0.99830499999999</v>
      </c>
      <c r="S144" s="2"/>
      <c r="T144" s="2"/>
      <c r="U144" s="2"/>
      <c r="V144" s="1">
        <f>23/64</f>
        <v>0.359375</v>
      </c>
      <c r="W144" s="1">
        <v>1.2</v>
      </c>
      <c r="X144" s="34">
        <v>0.997565999999986</v>
      </c>
      <c r="Y144" s="1">
        <v>1.1</v>
      </c>
      <c r="Z144" s="34">
        <v>0.997386999999987</v>
      </c>
      <c r="AA144" s="1">
        <v>1.8</v>
      </c>
      <c r="AB144" s="1">
        <v>0.996495999999984</v>
      </c>
      <c r="AC144" s="2"/>
      <c r="AD144" s="2"/>
      <c r="AE144" s="2"/>
    </row>
    <row r="145">
      <c r="A145" s="69">
        <f>29/64</f>
        <v>0.453125</v>
      </c>
      <c r="B145" s="1"/>
      <c r="C145" s="1"/>
      <c r="D145" s="34">
        <v>0.994638999999978</v>
      </c>
      <c r="E145" s="34">
        <v>0.994916999999982</v>
      </c>
      <c r="F145" s="4">
        <v>0.99499699999998</v>
      </c>
      <c r="G145" s="2"/>
      <c r="H145" s="52">
        <f>38/64</f>
        <v>0.59375</v>
      </c>
      <c r="I145" s="2"/>
      <c r="J145" s="1"/>
      <c r="K145" s="1">
        <v>0.996686999999986</v>
      </c>
      <c r="L145" s="1">
        <v>0.996882999999987</v>
      </c>
      <c r="M145" s="4">
        <v>0.997050999999987</v>
      </c>
      <c r="N145" s="2"/>
      <c r="O145" s="2">
        <f>43/64</f>
        <v>0.671875</v>
      </c>
      <c r="P145" s="2"/>
      <c r="Q145" s="1">
        <v>0.997756999999988</v>
      </c>
      <c r="R145" s="1">
        <v>0.998351999999989</v>
      </c>
      <c r="S145" s="2"/>
      <c r="T145" s="1">
        <v>0.998543999999991</v>
      </c>
      <c r="U145" s="2"/>
      <c r="V145" s="1">
        <f>24/64</f>
        <v>0.375</v>
      </c>
      <c r="W145" s="1">
        <v>1.9</v>
      </c>
      <c r="X145" s="1">
        <v>0.997561999999986</v>
      </c>
      <c r="Y145" s="1">
        <v>1.8</v>
      </c>
      <c r="Z145" s="1">
        <v>0.996495999999984</v>
      </c>
      <c r="AA145" s="2"/>
      <c r="AB145" s="2"/>
      <c r="AC145" s="2"/>
      <c r="AD145" s="2"/>
      <c r="AE145" s="2"/>
    </row>
    <row r="146">
      <c r="A146" s="1">
        <f>30/64</f>
        <v>0.46875</v>
      </c>
      <c r="B146" s="2"/>
      <c r="C146" s="2"/>
      <c r="D146" s="1">
        <v>0.994574999999979</v>
      </c>
      <c r="E146" s="1">
        <v>0.99488899999998</v>
      </c>
      <c r="F146" s="1">
        <v>0.995034999999981</v>
      </c>
      <c r="G146" s="2"/>
      <c r="H146" s="52">
        <f>39/64</f>
        <v>0.609375</v>
      </c>
      <c r="I146" s="2"/>
      <c r="J146" s="1"/>
      <c r="K146" s="1"/>
      <c r="L146" s="2"/>
      <c r="M146" s="4">
        <v>0.997119999999987</v>
      </c>
      <c r="N146" s="2"/>
      <c r="O146" s="2">
        <f>44/64</f>
        <v>0.6875</v>
      </c>
      <c r="P146" s="2"/>
      <c r="Q146" s="1">
        <v>0.997687999999989</v>
      </c>
      <c r="R146" s="34">
        <v>0.99837099999999</v>
      </c>
      <c r="S146" s="1">
        <v>0.998485999999991</v>
      </c>
      <c r="T146" s="34">
        <v>0.998578999999991</v>
      </c>
      <c r="U146" s="1">
        <v>0.998598999999992</v>
      </c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>
      <c r="A147" s="1">
        <f>31/64</f>
        <v>0.484375</v>
      </c>
      <c r="B147" s="2"/>
      <c r="C147" s="2"/>
      <c r="D147" s="1">
        <v>0.994603999999978</v>
      </c>
      <c r="E147" s="1">
        <v>0.99489299999998</v>
      </c>
      <c r="F147" s="4">
        <v>0.995107999999981</v>
      </c>
      <c r="G147" s="1">
        <v>0.995144999999981</v>
      </c>
      <c r="H147" s="52">
        <f>40/64</f>
        <v>0.625</v>
      </c>
      <c r="I147" s="2"/>
      <c r="J147" s="1"/>
      <c r="K147" s="2"/>
      <c r="L147" s="2"/>
      <c r="M147" s="4">
        <v>0.997150999999986</v>
      </c>
      <c r="N147" s="2"/>
      <c r="O147" s="2">
        <f>45/64</f>
        <v>0.703125</v>
      </c>
      <c r="P147" s="2"/>
      <c r="Q147" s="2"/>
      <c r="R147" s="1">
        <v>0.998356999999989</v>
      </c>
      <c r="S147" s="34">
        <v>0.99849199999999</v>
      </c>
      <c r="T147" s="4">
        <v>0.998576999999991</v>
      </c>
      <c r="U147" s="34">
        <v>0.998609999999992</v>
      </c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>
      <c r="A148" s="1">
        <f>32/64</f>
        <v>0.5</v>
      </c>
      <c r="B148" s="2"/>
      <c r="C148" s="2"/>
      <c r="D148" s="1"/>
      <c r="E148" s="1"/>
      <c r="F148" s="34">
        <v>0.995111999999981</v>
      </c>
      <c r="G148" s="34">
        <v>0.995154999999979</v>
      </c>
      <c r="H148" s="52">
        <f>41/64</f>
        <v>0.640625</v>
      </c>
      <c r="I148" s="2"/>
      <c r="J148" s="1"/>
      <c r="K148" s="2"/>
      <c r="L148" s="2"/>
      <c r="M148" s="34">
        <v>0.997159999999986</v>
      </c>
      <c r="N148" s="1">
        <v>0.997169999999987</v>
      </c>
      <c r="O148" s="2">
        <f>46/64</f>
        <v>0.71875</v>
      </c>
      <c r="P148" s="2"/>
      <c r="Q148" s="2"/>
      <c r="R148" s="1">
        <v>0.998319999999989</v>
      </c>
      <c r="S148" s="1">
        <v>0.998469999999991</v>
      </c>
      <c r="T148" s="1">
        <v>0.998554999999991</v>
      </c>
      <c r="U148" s="1">
        <v>0.998556999999991</v>
      </c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>
      <c r="A149" s="1">
        <f>33/64</f>
        <v>0.515625</v>
      </c>
      <c r="B149" s="2"/>
      <c r="C149" s="2"/>
      <c r="D149" s="1"/>
      <c r="E149" s="1"/>
      <c r="F149" s="1">
        <v>0.99508599999998</v>
      </c>
      <c r="G149" s="1">
        <v>0.995149999999981</v>
      </c>
      <c r="H149" s="52">
        <f>42/64</f>
        <v>0.65625</v>
      </c>
      <c r="I149" s="2"/>
      <c r="J149" s="1"/>
      <c r="K149" s="2"/>
      <c r="L149" s="2"/>
      <c r="M149" s="4">
        <v>0.997145999999986</v>
      </c>
      <c r="N149" s="34">
        <v>0.997189999999987</v>
      </c>
      <c r="O149" s="2">
        <f>47/64</f>
        <v>0.734375</v>
      </c>
      <c r="P149" s="2"/>
      <c r="Q149" s="2"/>
      <c r="R149" s="2"/>
      <c r="S149" s="1">
        <v>0.998385999999989</v>
      </c>
      <c r="T149" s="1">
        <v>0.99850099999999</v>
      </c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>
      <c r="A150" s="1">
        <f>34/64</f>
        <v>0.53125</v>
      </c>
      <c r="B150" s="2"/>
      <c r="C150" s="2"/>
      <c r="D150" s="1"/>
      <c r="E150" s="1"/>
      <c r="F150" s="1"/>
      <c r="G150" s="2"/>
      <c r="H150" s="52">
        <f>43/64</f>
        <v>0.671875</v>
      </c>
      <c r="I150" s="2"/>
      <c r="J150" s="1"/>
      <c r="K150" s="2"/>
      <c r="L150" s="2"/>
      <c r="M150" s="4">
        <v>0.997131999999986</v>
      </c>
      <c r="N150" s="1">
        <v>0.997147999999987</v>
      </c>
      <c r="O150" s="2"/>
      <c r="P150" s="2"/>
      <c r="Q150" s="2"/>
      <c r="R150" s="2"/>
      <c r="S150" s="2"/>
      <c r="T150" s="2"/>
      <c r="U150" s="2"/>
      <c r="V150" s="2"/>
      <c r="W150" s="2"/>
      <c r="X150" s="1"/>
      <c r="Y150" s="1"/>
      <c r="Z150" s="2"/>
      <c r="AA150" s="2"/>
      <c r="AB150" s="2"/>
      <c r="AC150" s="2"/>
      <c r="AD150" s="2"/>
      <c r="AE150" s="2"/>
    </row>
    <row r="151">
      <c r="A151" s="69"/>
      <c r="B151" s="1">
        <v>0.999432999999994</v>
      </c>
      <c r="C151" s="1">
        <v>0.999966999999999</v>
      </c>
      <c r="D151" s="1">
        <v>1.0</v>
      </c>
      <c r="E151" s="1">
        <v>1.0</v>
      </c>
      <c r="F151" s="1">
        <v>1.0</v>
      </c>
      <c r="G151" s="1">
        <v>1.0</v>
      </c>
      <c r="H151" s="52"/>
      <c r="I151" s="1">
        <v>0.999432999999994</v>
      </c>
      <c r="J151" s="1">
        <v>0.999966999999999</v>
      </c>
      <c r="K151" s="1">
        <v>1.0</v>
      </c>
      <c r="L151" s="1">
        <v>1.0</v>
      </c>
      <c r="M151" s="1">
        <v>1.0</v>
      </c>
      <c r="N151" s="1">
        <v>1.0</v>
      </c>
      <c r="O151" s="2"/>
      <c r="P151" s="28">
        <v>0.999432999999994</v>
      </c>
      <c r="Q151" s="28">
        <v>0.999966999999999</v>
      </c>
      <c r="R151" s="28">
        <v>1.0</v>
      </c>
      <c r="S151" s="28">
        <v>1.0</v>
      </c>
      <c r="T151" s="28">
        <v>1.0</v>
      </c>
      <c r="U151" s="28">
        <v>1.0</v>
      </c>
      <c r="V151" s="1"/>
      <c r="W151" s="1"/>
      <c r="X151" s="1"/>
      <c r="Y151" s="1"/>
      <c r="Z151" s="2"/>
      <c r="AA151" s="2"/>
      <c r="AB151" s="2"/>
      <c r="AC151" s="2"/>
      <c r="AD151" s="2"/>
      <c r="AE151" s="2"/>
    </row>
    <row r="152">
      <c r="A152" s="69"/>
      <c r="B152" s="1"/>
      <c r="C152" s="1"/>
      <c r="D152" s="1"/>
      <c r="E152" s="1"/>
      <c r="F152" s="1"/>
      <c r="G152" s="1"/>
      <c r="H152" s="52"/>
      <c r="I152" s="1"/>
      <c r="J152" s="1"/>
      <c r="K152" s="1"/>
      <c r="L152" s="1">
        <v>0.996619999999985</v>
      </c>
      <c r="M152" s="34">
        <v>0.997386999999987</v>
      </c>
      <c r="N152" s="34">
        <v>0.997565999999986</v>
      </c>
      <c r="O152" s="52"/>
      <c r="P152" s="1"/>
      <c r="Q152" s="1"/>
      <c r="R152" s="18">
        <v>0.997237999999985</v>
      </c>
      <c r="S152" s="34">
        <v>0.99864799999999</v>
      </c>
      <c r="T152" s="34">
        <v>0.999011999999992</v>
      </c>
      <c r="U152" s="34">
        <v>0.999099999999993</v>
      </c>
      <c r="V152" s="1" t="s">
        <v>115</v>
      </c>
      <c r="W152" s="1">
        <v>64.0</v>
      </c>
      <c r="X152" s="1">
        <v>64.0</v>
      </c>
      <c r="Y152" s="1">
        <v>32.0</v>
      </c>
      <c r="Z152" s="1">
        <v>32.0</v>
      </c>
      <c r="AA152" s="1">
        <v>16.0</v>
      </c>
      <c r="AB152" s="1">
        <v>16.0</v>
      </c>
      <c r="AC152" s="1">
        <v>8.0</v>
      </c>
      <c r="AD152" s="1">
        <v>8.0</v>
      </c>
      <c r="AE152" s="2"/>
    </row>
    <row r="153">
      <c r="A153" s="68" t="s">
        <v>899</v>
      </c>
      <c r="B153" s="57">
        <v>2.0</v>
      </c>
      <c r="C153" s="57">
        <v>4.0</v>
      </c>
      <c r="D153" s="57">
        <v>8.0</v>
      </c>
      <c r="E153" s="57">
        <v>16.0</v>
      </c>
      <c r="F153" s="57">
        <v>32.0</v>
      </c>
      <c r="G153" s="57">
        <v>64.0</v>
      </c>
      <c r="H153" s="68" t="s">
        <v>899</v>
      </c>
      <c r="I153" s="57">
        <v>2.0</v>
      </c>
      <c r="J153" s="57">
        <v>4.0</v>
      </c>
      <c r="K153" s="57">
        <v>8.0</v>
      </c>
      <c r="L153" s="57">
        <v>16.0</v>
      </c>
      <c r="M153" s="57">
        <v>32.0</v>
      </c>
      <c r="N153" s="57">
        <v>64.0</v>
      </c>
      <c r="O153" s="68" t="s">
        <v>899</v>
      </c>
      <c r="P153" s="1">
        <v>2.0</v>
      </c>
      <c r="Q153" s="1">
        <v>4.0</v>
      </c>
      <c r="R153" s="1">
        <v>8.0</v>
      </c>
      <c r="S153" s="1">
        <v>16.0</v>
      </c>
      <c r="T153" s="1">
        <v>32.0</v>
      </c>
      <c r="U153" s="1">
        <v>64.0</v>
      </c>
      <c r="V153" s="2">
        <f>17/64</f>
        <v>0.265625</v>
      </c>
      <c r="W153" s="1"/>
      <c r="X153" s="18"/>
      <c r="Y153" s="2"/>
      <c r="Z153" s="2"/>
      <c r="AA153" s="2"/>
      <c r="AB153" s="2"/>
      <c r="AC153" s="1">
        <v>-1.0</v>
      </c>
      <c r="AD153" s="1">
        <v>0.989404999999951</v>
      </c>
      <c r="AE153" s="1"/>
    </row>
    <row r="154">
      <c r="A154" s="1" t="s">
        <v>892</v>
      </c>
      <c r="B154" s="2"/>
      <c r="C154" s="2"/>
      <c r="D154" s="2"/>
      <c r="E154" s="2"/>
      <c r="F154" s="2"/>
      <c r="G154" s="2"/>
      <c r="H154" s="51" t="s">
        <v>893</v>
      </c>
      <c r="I154" s="2"/>
      <c r="J154" s="2"/>
      <c r="K154" s="2"/>
      <c r="L154" s="2"/>
      <c r="M154" s="2"/>
      <c r="N154" s="2"/>
      <c r="O154" s="51" t="s">
        <v>115</v>
      </c>
      <c r="P154" s="1"/>
      <c r="Q154" s="2"/>
      <c r="R154" s="2"/>
      <c r="S154" s="2"/>
      <c r="T154" s="2"/>
      <c r="U154" s="2"/>
      <c r="V154" s="2">
        <f>18/64</f>
        <v>0.28125</v>
      </c>
      <c r="W154" s="2"/>
      <c r="X154" s="2"/>
      <c r="Y154" s="2"/>
      <c r="Z154" s="2"/>
      <c r="AA154" s="2"/>
      <c r="AB154" s="2"/>
      <c r="AC154" s="1">
        <v>-0.8</v>
      </c>
      <c r="AD154" s="18">
        <v>0.989478999999949</v>
      </c>
      <c r="AE154" s="18"/>
    </row>
    <row r="155">
      <c r="A155" s="1">
        <v>0.0</v>
      </c>
      <c r="B155" s="1">
        <v>0.826887999999988</v>
      </c>
      <c r="C155" s="1">
        <v>0.924798999999954</v>
      </c>
      <c r="D155" s="1">
        <v>0.946588999999945</v>
      </c>
      <c r="E155" s="1">
        <v>0.952730999999949</v>
      </c>
      <c r="F155" s="1">
        <v>0.954609999999946</v>
      </c>
      <c r="G155" s="1">
        <v>0.955229999999946</v>
      </c>
      <c r="H155" s="51">
        <v>0.0</v>
      </c>
      <c r="I155" s="1">
        <v>0.826905999999988</v>
      </c>
      <c r="J155" s="1">
        <v>0.924731999999954</v>
      </c>
      <c r="K155" s="1">
        <v>0.946550999999946</v>
      </c>
      <c r="L155" s="1">
        <v>0.952745999999949</v>
      </c>
      <c r="M155" s="1">
        <v>0.954610999999945</v>
      </c>
      <c r="N155" s="1">
        <v>0.955238999999946</v>
      </c>
      <c r="O155" s="1">
        <v>0.0</v>
      </c>
      <c r="P155" s="1">
        <v>0.826883999999986</v>
      </c>
      <c r="Q155" s="1">
        <v>0.924814999999953</v>
      </c>
      <c r="R155" s="1">
        <v>0.946550999999945</v>
      </c>
      <c r="S155" s="1">
        <v>0.952727999999949</v>
      </c>
      <c r="T155" s="1">
        <v>0.954615999999946</v>
      </c>
      <c r="U155" s="1">
        <v>0.955244999999946</v>
      </c>
      <c r="V155" s="2">
        <f>19/64</f>
        <v>0.296875</v>
      </c>
      <c r="W155" s="2"/>
      <c r="X155" s="2"/>
      <c r="Y155" s="2"/>
      <c r="Z155" s="2"/>
      <c r="AA155" s="2"/>
      <c r="AB155" s="2"/>
      <c r="AC155" s="1">
        <v>-0.9</v>
      </c>
      <c r="AD155" s="1">
        <v>0.98935899999995</v>
      </c>
      <c r="AE155" s="1"/>
    </row>
    <row r="156">
      <c r="A156" s="2">
        <f>18/64</f>
        <v>0.28125</v>
      </c>
      <c r="B156" s="1">
        <v>0.910104999999966</v>
      </c>
      <c r="C156" s="2"/>
      <c r="D156" s="2"/>
      <c r="E156" s="2"/>
      <c r="F156" s="2"/>
      <c r="G156" s="2"/>
      <c r="H156" s="51">
        <f>22/64</f>
        <v>0.34375</v>
      </c>
      <c r="I156" s="1">
        <v>0.922051999999958</v>
      </c>
      <c r="J156" s="2"/>
      <c r="K156" s="2"/>
      <c r="L156" s="2"/>
      <c r="M156" s="2"/>
      <c r="N156" s="2"/>
      <c r="O156" s="51">
        <f>28/64</f>
        <v>0.4375</v>
      </c>
      <c r="P156" s="1">
        <v>0.951130999999944</v>
      </c>
      <c r="Q156" s="2"/>
      <c r="R156" s="2"/>
      <c r="S156" s="2"/>
      <c r="T156" s="2"/>
      <c r="U156" s="2"/>
      <c r="V156" s="1">
        <f>20/64</f>
        <v>0.3125</v>
      </c>
      <c r="W156" s="1">
        <v>-0.1</v>
      </c>
      <c r="X156" s="1">
        <v>0.998131999999986</v>
      </c>
      <c r="Y156" s="2"/>
      <c r="Z156" s="2"/>
      <c r="AA156" s="2"/>
      <c r="AB156" s="2"/>
      <c r="AC156" s="1">
        <v>-0.9</v>
      </c>
      <c r="AD156" s="1">
        <v>0.988818999999946</v>
      </c>
      <c r="AE156" s="1"/>
    </row>
    <row r="157">
      <c r="A157" s="1">
        <f>19/64</f>
        <v>0.296875</v>
      </c>
      <c r="B157" s="1">
        <v>0.910597999999959</v>
      </c>
      <c r="C157" s="2"/>
      <c r="D157" s="2"/>
      <c r="E157" s="2"/>
      <c r="F157" s="2"/>
      <c r="G157" s="2"/>
      <c r="H157" s="52">
        <f>23/64</f>
        <v>0.359375</v>
      </c>
      <c r="I157" s="1">
        <v>0.922668999999956</v>
      </c>
      <c r="J157" s="2"/>
      <c r="K157" s="2"/>
      <c r="L157" s="2"/>
      <c r="M157" s="2"/>
      <c r="N157" s="2"/>
      <c r="O157" s="1">
        <f>29/64</f>
        <v>0.453125</v>
      </c>
      <c r="P157" s="1">
        <v>0.95185299999994</v>
      </c>
      <c r="Q157" s="2"/>
      <c r="R157" s="2"/>
      <c r="S157" s="2"/>
      <c r="T157" s="2"/>
      <c r="U157" s="2"/>
      <c r="V157" s="2">
        <f>21/64</f>
        <v>0.328125</v>
      </c>
      <c r="W157" s="1">
        <v>0.0</v>
      </c>
      <c r="X157" s="1">
        <v>0.998375999999987</v>
      </c>
      <c r="Y157" s="2"/>
      <c r="Z157" s="2"/>
      <c r="AA157" s="1">
        <v>-0.1</v>
      </c>
      <c r="AB157" s="1">
        <v>0.997220999999979</v>
      </c>
      <c r="AC157" s="1">
        <v>-0.8</v>
      </c>
      <c r="AD157" s="1">
        <v>0.988078999999945</v>
      </c>
      <c r="AE157" s="1"/>
    </row>
    <row r="158">
      <c r="A158" s="30">
        <v>0.3125</v>
      </c>
      <c r="B158" s="34">
        <v>0.910900999999963</v>
      </c>
      <c r="C158" s="1">
        <v>0.967899999999936</v>
      </c>
      <c r="D158" s="2"/>
      <c r="E158" s="2"/>
      <c r="F158" s="2"/>
      <c r="G158" s="2"/>
      <c r="H158" s="52">
        <f>24/64</f>
        <v>0.375</v>
      </c>
      <c r="I158" s="34">
        <v>0.922835999999956</v>
      </c>
      <c r="J158" s="1">
        <v>0.973717999999938</v>
      </c>
      <c r="K158" s="2"/>
      <c r="L158" s="2"/>
      <c r="M158" s="2"/>
      <c r="N158" s="2"/>
      <c r="O158" s="2">
        <f>30/64</f>
        <v>0.46875</v>
      </c>
      <c r="P158" s="1">
        <v>0.952196999999943</v>
      </c>
      <c r="Q158" s="2"/>
      <c r="R158" s="2"/>
      <c r="S158" s="2"/>
      <c r="T158" s="2"/>
      <c r="U158" s="2"/>
      <c r="V158" s="2">
        <f>22/64</f>
        <v>0.34375</v>
      </c>
      <c r="W158" s="1">
        <v>0.3</v>
      </c>
      <c r="X158" s="1">
        <v>0.998578999999989</v>
      </c>
      <c r="Y158" s="1">
        <v>0.3</v>
      </c>
      <c r="Z158" s="1">
        <v>0.998346999999987</v>
      </c>
      <c r="AA158" s="1">
        <v>-0.1</v>
      </c>
      <c r="AB158" s="18">
        <v>0.997222999999978</v>
      </c>
      <c r="AC158" s="1">
        <v>-0.8</v>
      </c>
      <c r="AD158" s="1">
        <v>0.986833999999943</v>
      </c>
      <c r="AE158" s="1"/>
    </row>
    <row r="159">
      <c r="A159" s="2">
        <f>21/64</f>
        <v>0.328125</v>
      </c>
      <c r="B159" s="1">
        <v>0.910563999999958</v>
      </c>
      <c r="C159" s="34">
        <v>0.968289999999939</v>
      </c>
      <c r="D159" s="1">
        <v>0.976051999999942</v>
      </c>
      <c r="E159" s="2"/>
      <c r="F159" s="2"/>
      <c r="G159" s="2"/>
      <c r="H159" s="52">
        <f>25/64</f>
        <v>0.390625</v>
      </c>
      <c r="I159" s="1">
        <v>0.922358999999958</v>
      </c>
      <c r="J159" s="34">
        <v>0.973779999999935</v>
      </c>
      <c r="K159" s="1">
        <v>0.981772999999945</v>
      </c>
      <c r="L159" s="2"/>
      <c r="M159" s="2"/>
      <c r="N159" s="2"/>
      <c r="O159" s="2">
        <f>31/64</f>
        <v>0.484375</v>
      </c>
      <c r="P159" s="1">
        <v>0.952529999999945</v>
      </c>
      <c r="Q159" s="2"/>
      <c r="R159" s="2"/>
      <c r="S159" s="2"/>
      <c r="T159" s="2"/>
      <c r="U159" s="2"/>
      <c r="V159" s="2">
        <f>23/64</f>
        <v>0.359375</v>
      </c>
      <c r="W159" s="1">
        <v>0.5</v>
      </c>
      <c r="X159" s="18">
        <v>0.998647999999988</v>
      </c>
      <c r="Y159" s="1">
        <v>0.3</v>
      </c>
      <c r="Z159" s="18">
        <v>0.998372999999986</v>
      </c>
      <c r="AA159" s="1">
        <v>-0.1</v>
      </c>
      <c r="AB159" s="1">
        <v>0.997027999999976</v>
      </c>
      <c r="AC159" s="1"/>
      <c r="AD159" s="1"/>
      <c r="AE159" s="1"/>
    </row>
    <row r="160">
      <c r="A160" s="1">
        <f>22/64</f>
        <v>0.34375</v>
      </c>
      <c r="B160" s="1">
        <v>0.910343999999959</v>
      </c>
      <c r="C160" s="1">
        <v>0.968135999999938</v>
      </c>
      <c r="D160" s="1">
        <v>0.976624999999944</v>
      </c>
      <c r="E160" s="2"/>
      <c r="F160" s="2"/>
      <c r="G160" s="2"/>
      <c r="H160" s="52">
        <f>26/64</f>
        <v>0.40625</v>
      </c>
      <c r="I160" s="1">
        <v>0.921564999999957</v>
      </c>
      <c r="J160" s="1">
        <v>0.973755999999937</v>
      </c>
      <c r="K160" s="1">
        <v>0.982206999999943</v>
      </c>
      <c r="L160" s="2"/>
      <c r="M160" s="2"/>
      <c r="N160" s="2"/>
      <c r="O160" s="2">
        <f>32/64</f>
        <v>0.5</v>
      </c>
      <c r="P160" s="34">
        <v>0.95266299999994</v>
      </c>
      <c r="Q160" s="1">
        <v>0.986823999999948</v>
      </c>
      <c r="R160" s="2"/>
      <c r="S160" s="2"/>
      <c r="T160" s="2"/>
      <c r="U160" s="2"/>
      <c r="V160" s="2">
        <f>24/64</f>
        <v>0.375</v>
      </c>
      <c r="W160" s="1">
        <v>0.6</v>
      </c>
      <c r="X160" s="1">
        <v>0.998597999999988</v>
      </c>
      <c r="Y160" s="1">
        <v>0.3</v>
      </c>
      <c r="Z160" s="1">
        <v>0.998220999999985</v>
      </c>
      <c r="AA160" s="2"/>
      <c r="AB160" s="2"/>
      <c r="AC160" s="2"/>
      <c r="AD160" s="2"/>
      <c r="AE160" s="2"/>
    </row>
    <row r="161">
      <c r="A161" s="2">
        <f>23/64</f>
        <v>0.359375</v>
      </c>
      <c r="B161" s="2"/>
      <c r="C161" s="1">
        <v>0.96814099999994</v>
      </c>
      <c r="D161" s="1">
        <v>0.976863999999941</v>
      </c>
      <c r="E161" s="2"/>
      <c r="F161" s="2"/>
      <c r="G161" s="2"/>
      <c r="H161" s="51">
        <f>27/64</f>
        <v>0.421875</v>
      </c>
      <c r="I161" s="2"/>
      <c r="J161" s="1">
        <v>0.973548999999934</v>
      </c>
      <c r="K161" s="1">
        <v>0.982653999999945</v>
      </c>
      <c r="L161" s="2"/>
      <c r="M161" s="2"/>
      <c r="N161" s="2"/>
      <c r="O161" s="2">
        <f>33/64</f>
        <v>0.515625</v>
      </c>
      <c r="P161" s="1">
        <v>0.952593999999941</v>
      </c>
      <c r="Q161" s="4">
        <v>0.986875999999946</v>
      </c>
      <c r="R161" s="2"/>
      <c r="S161" s="2"/>
      <c r="T161" s="2"/>
      <c r="U161" s="2"/>
      <c r="V161" s="1" t="s">
        <v>893</v>
      </c>
      <c r="W161" s="1">
        <v>64.0</v>
      </c>
      <c r="X161" s="1">
        <v>64.0</v>
      </c>
      <c r="Y161" s="1">
        <v>32.0</v>
      </c>
      <c r="Z161" s="1">
        <v>32.0</v>
      </c>
      <c r="AA161" s="1">
        <v>16.0</v>
      </c>
      <c r="AB161" s="1">
        <v>16.0</v>
      </c>
      <c r="AC161" s="1">
        <v>8.0</v>
      </c>
      <c r="AD161" s="1">
        <v>8.0</v>
      </c>
      <c r="AE161" s="2"/>
    </row>
    <row r="162">
      <c r="A162" s="2">
        <f>24/64</f>
        <v>0.375</v>
      </c>
      <c r="B162" s="2"/>
      <c r="C162" s="1">
        <v>0.967718999999938</v>
      </c>
      <c r="D162" s="1">
        <v>0.97709999999994</v>
      </c>
      <c r="E162" s="2"/>
      <c r="F162" s="2"/>
      <c r="G162" s="2"/>
      <c r="H162" s="51">
        <f>28/64</f>
        <v>0.4375</v>
      </c>
      <c r="I162" s="2"/>
      <c r="J162" s="2"/>
      <c r="K162" s="1">
        <v>0.982976999999946</v>
      </c>
      <c r="L162" s="2"/>
      <c r="M162" s="2"/>
      <c r="N162" s="2"/>
      <c r="O162" s="2">
        <f>34/64</f>
        <v>0.53125</v>
      </c>
      <c r="P162" s="2"/>
      <c r="Q162" s="1">
        <v>0.986854999999945</v>
      </c>
      <c r="R162" s="2"/>
      <c r="S162" s="2"/>
      <c r="T162" s="2"/>
      <c r="U162" s="2"/>
      <c r="V162" s="2">
        <f>10/64</f>
        <v>0.15625</v>
      </c>
      <c r="W162" s="1"/>
      <c r="X162" s="1"/>
      <c r="Y162" s="2"/>
      <c r="Z162" s="2"/>
      <c r="AA162" s="2"/>
      <c r="AB162" s="2"/>
      <c r="AC162" s="1">
        <v>-1.5</v>
      </c>
      <c r="AD162" s="1">
        <v>0.972196999999939</v>
      </c>
      <c r="AE162" s="2"/>
    </row>
    <row r="163">
      <c r="A163" s="2">
        <f>25/64</f>
        <v>0.390625</v>
      </c>
      <c r="B163" s="2"/>
      <c r="C163" s="2"/>
      <c r="D163" s="34">
        <v>0.977303999999942</v>
      </c>
      <c r="E163" s="1">
        <v>0.980525999999944</v>
      </c>
      <c r="F163" s="2"/>
      <c r="G163" s="2"/>
      <c r="H163" s="51">
        <f>29/64</f>
        <v>0.453125</v>
      </c>
      <c r="I163" s="2"/>
      <c r="J163" s="2"/>
      <c r="K163" s="1">
        <v>0.983092999999945</v>
      </c>
      <c r="L163" s="2"/>
      <c r="M163" s="2"/>
      <c r="N163" s="2"/>
      <c r="O163" s="2">
        <f>35/64</f>
        <v>0.546875</v>
      </c>
      <c r="P163" s="2"/>
      <c r="Q163" s="34">
        <v>0.986976999999943</v>
      </c>
      <c r="R163" s="1">
        <v>0.992579999999958</v>
      </c>
      <c r="S163" s="2"/>
      <c r="T163" s="2"/>
      <c r="U163" s="2"/>
      <c r="V163" s="2">
        <f>11/64</f>
        <v>0.171875</v>
      </c>
      <c r="W163" s="1"/>
      <c r="X163" s="1"/>
      <c r="Y163" s="2"/>
      <c r="Z163" s="2"/>
      <c r="AA163" s="2"/>
      <c r="AB163" s="2"/>
      <c r="AC163" s="1">
        <v>-1.4</v>
      </c>
      <c r="AD163" s="18">
        <v>0.972546999999944</v>
      </c>
      <c r="AE163" s="2"/>
    </row>
    <row r="164">
      <c r="A164" s="2">
        <f>26/64</f>
        <v>0.40625</v>
      </c>
      <c r="B164" s="2"/>
      <c r="C164" s="2"/>
      <c r="D164" s="1">
        <v>0.977100999999945</v>
      </c>
      <c r="E164" s="1">
        <v>0.980585999999943</v>
      </c>
      <c r="F164" s="1">
        <v>0.981558999999945</v>
      </c>
      <c r="G164" s="1">
        <v>0.981841999999945</v>
      </c>
      <c r="H164" s="51">
        <f>30/64</f>
        <v>0.46875</v>
      </c>
      <c r="I164" s="2"/>
      <c r="J164" s="2"/>
      <c r="K164" s="1">
        <v>0.983152999999946</v>
      </c>
      <c r="L164" s="1">
        <v>0.98613699999995</v>
      </c>
      <c r="M164" s="2"/>
      <c r="N164" s="2"/>
      <c r="O164" s="2">
        <f>36/64</f>
        <v>0.5625</v>
      </c>
      <c r="P164" s="2"/>
      <c r="Q164" s="1">
        <v>0.986709999999946</v>
      </c>
      <c r="R164" s="1">
        <v>0.992678999999959</v>
      </c>
      <c r="S164" s="2"/>
      <c r="T164" s="2"/>
      <c r="U164" s="2"/>
      <c r="V164" s="2">
        <f>12/64</f>
        <v>0.1875</v>
      </c>
      <c r="W164" s="1"/>
      <c r="X164" s="1"/>
      <c r="Y164" s="2"/>
      <c r="Z164" s="2"/>
      <c r="AA164" s="2"/>
      <c r="AB164" s="2"/>
      <c r="AC164" s="1">
        <v>-1.2</v>
      </c>
      <c r="AD164" s="1">
        <v>0.97231899999994</v>
      </c>
      <c r="AE164" s="2"/>
    </row>
    <row r="165">
      <c r="A165" s="1">
        <f>27/64</f>
        <v>0.421875</v>
      </c>
      <c r="B165" s="1"/>
      <c r="C165" s="2"/>
      <c r="D165" s="1">
        <v>0.976933999999939</v>
      </c>
      <c r="E165" s="34">
        <v>0.980712999999942</v>
      </c>
      <c r="F165" s="34">
        <v>0.981693999999944</v>
      </c>
      <c r="G165" s="34">
        <v>0.981907999999945</v>
      </c>
      <c r="H165" s="52">
        <f>31/64</f>
        <v>0.484375</v>
      </c>
      <c r="I165" s="2"/>
      <c r="J165" s="2"/>
      <c r="K165" s="34">
        <v>0.983159999999945</v>
      </c>
      <c r="L165" s="1">
        <v>0.986145999999949</v>
      </c>
      <c r="M165" s="1">
        <v>0.986957999999949</v>
      </c>
      <c r="N165" s="1">
        <v>0.987208999999949</v>
      </c>
      <c r="O165" s="2">
        <f>37/64</f>
        <v>0.578125</v>
      </c>
      <c r="P165" s="2"/>
      <c r="Q165" s="1">
        <v>0.986376999999941</v>
      </c>
      <c r="R165" s="34">
        <v>0.992929999999961</v>
      </c>
      <c r="S165" s="1">
        <v>0.994364999999966</v>
      </c>
      <c r="T165" s="1">
        <v>0.994858999999967</v>
      </c>
      <c r="U165" s="1">
        <v>0.994986999999969</v>
      </c>
      <c r="V165" s="2">
        <f>13/64</f>
        <v>0.203125</v>
      </c>
      <c r="W165" s="1"/>
      <c r="X165" s="1"/>
      <c r="Y165" s="2"/>
      <c r="Z165" s="2"/>
      <c r="AA165" s="2"/>
      <c r="AB165" s="2"/>
      <c r="AC165" s="1">
        <v>-1.1</v>
      </c>
      <c r="AD165" s="1">
        <v>0.971897999999942</v>
      </c>
      <c r="AE165" s="2"/>
    </row>
    <row r="166">
      <c r="A166" s="1">
        <f>28/64</f>
        <v>0.4375</v>
      </c>
      <c r="B166" s="2"/>
      <c r="C166" s="2"/>
      <c r="D166" s="2"/>
      <c r="E166" s="1">
        <v>0.980580999999944</v>
      </c>
      <c r="F166" s="1">
        <v>0.981505999999944</v>
      </c>
      <c r="G166" s="1">
        <v>0.981822999999944</v>
      </c>
      <c r="H166" s="52">
        <f>32/64</f>
        <v>0.5</v>
      </c>
      <c r="I166" s="2"/>
      <c r="J166" s="2"/>
      <c r="K166" s="1">
        <v>0.983014999999943</v>
      </c>
      <c r="L166" s="34">
        <v>0.986198999999949</v>
      </c>
      <c r="M166" s="34">
        <v>0.986970999999948</v>
      </c>
      <c r="N166" s="34">
        <v>0.98725599999995</v>
      </c>
      <c r="O166" s="2">
        <f>38/64</f>
        <v>0.59375</v>
      </c>
      <c r="P166" s="2"/>
      <c r="Q166" s="2"/>
      <c r="R166" s="1">
        <v>0.99288899999996</v>
      </c>
      <c r="S166" s="34">
        <v>0.994456999999967</v>
      </c>
      <c r="T166" s="34">
        <v>0.994904999999967</v>
      </c>
      <c r="U166" s="34">
        <v>0.995024999999968</v>
      </c>
      <c r="V166" s="2">
        <f>14/64</f>
        <v>0.21875</v>
      </c>
      <c r="W166" s="1"/>
      <c r="X166" s="1"/>
      <c r="Y166" s="2"/>
      <c r="Z166" s="2"/>
      <c r="AA166" s="2"/>
      <c r="AB166" s="2"/>
      <c r="AC166" s="1">
        <v>-1.1</v>
      </c>
      <c r="AD166" s="1">
        <v>0.971032999999942</v>
      </c>
      <c r="AE166" s="2"/>
    </row>
    <row r="167">
      <c r="A167" s="1">
        <f>29/64</f>
        <v>0.453125</v>
      </c>
      <c r="B167" s="1"/>
      <c r="C167" s="2"/>
      <c r="D167" s="2"/>
      <c r="E167" s="2"/>
      <c r="F167" s="2"/>
      <c r="G167" s="1">
        <v>0.981589999999945</v>
      </c>
      <c r="H167" s="52">
        <f>33/64</f>
        <v>0.515625</v>
      </c>
      <c r="I167" s="2"/>
      <c r="J167" s="2"/>
      <c r="K167" s="1">
        <v>0.982590999999941</v>
      </c>
      <c r="L167" s="1">
        <v>0.985961999999947</v>
      </c>
      <c r="M167" s="1">
        <v>0.986851999999948</v>
      </c>
      <c r="N167" s="1">
        <v>0.98714599999995</v>
      </c>
      <c r="O167" s="2">
        <f>39/64</f>
        <v>0.609375</v>
      </c>
      <c r="P167" s="2"/>
      <c r="Q167" s="2"/>
      <c r="R167" s="1">
        <v>0.992731999999958</v>
      </c>
      <c r="S167" s="1">
        <v>0.994339999999965</v>
      </c>
      <c r="T167" s="1">
        <v>0.994901999999967</v>
      </c>
      <c r="U167" s="1">
        <v>0.994992999999967</v>
      </c>
      <c r="V167" s="2">
        <f>15/64</f>
        <v>0.234375</v>
      </c>
      <c r="W167" s="1"/>
      <c r="X167" s="1"/>
      <c r="Y167" s="2"/>
      <c r="Z167" s="2"/>
      <c r="AA167" s="2"/>
      <c r="AB167" s="2"/>
      <c r="AC167" s="1">
        <v>-0.8</v>
      </c>
      <c r="AD167" s="1">
        <v>0.97006999999994</v>
      </c>
      <c r="AE167" s="2"/>
    </row>
    <row r="168">
      <c r="A168" s="1"/>
      <c r="B168" s="2"/>
      <c r="C168" s="2"/>
      <c r="D168" s="2"/>
      <c r="E168" s="2"/>
      <c r="F168" s="2"/>
      <c r="G168" s="2"/>
      <c r="H168" s="2">
        <f>34/64</f>
        <v>0.53125</v>
      </c>
      <c r="I168" s="2"/>
      <c r="J168" s="2"/>
      <c r="K168" s="1">
        <v>0.982225999999942</v>
      </c>
      <c r="L168" s="1">
        <v>0.985625999999946</v>
      </c>
      <c r="M168" s="1">
        <v>0.986679999999948</v>
      </c>
      <c r="N168" s="1">
        <v>0.986885999999948</v>
      </c>
      <c r="O168" s="2">
        <f>40/64</f>
        <v>0.625</v>
      </c>
      <c r="P168" s="2"/>
      <c r="Q168" s="2"/>
      <c r="R168" s="2"/>
      <c r="S168" s="1">
        <v>0.994319999999964</v>
      </c>
      <c r="T168" s="1">
        <v>0.994840999999966</v>
      </c>
      <c r="U168" s="1">
        <v>0.994962999999966</v>
      </c>
      <c r="V168" s="2">
        <f>16/64</f>
        <v>0.25</v>
      </c>
      <c r="W168" s="1"/>
      <c r="X168" s="18"/>
      <c r="Y168" s="2"/>
      <c r="Z168" s="2"/>
      <c r="AA168" s="2"/>
      <c r="AB168" s="2"/>
      <c r="AC168" s="1">
        <v>-0.9</v>
      </c>
      <c r="AD168" s="1">
        <v>0.968332999999938</v>
      </c>
      <c r="AE168" s="2"/>
    </row>
    <row r="169">
      <c r="A169" s="1"/>
      <c r="B169" s="1">
        <v>0.772589999999985</v>
      </c>
      <c r="C169" s="1">
        <v>0.955041999999944</v>
      </c>
      <c r="D169" s="1">
        <v>0.987642999999955</v>
      </c>
      <c r="E169" s="1">
        <v>0.997649999999986</v>
      </c>
      <c r="F169" s="1">
        <v>0.999868999999999</v>
      </c>
      <c r="G169" s="1">
        <v>0.999968999999999</v>
      </c>
      <c r="H169" s="2"/>
      <c r="I169" s="1">
        <v>0.772589999999985</v>
      </c>
      <c r="J169" s="1">
        <v>0.955041999999944</v>
      </c>
      <c r="K169" s="1">
        <v>0.987642999999955</v>
      </c>
      <c r="L169" s="1">
        <v>0.997649999999986</v>
      </c>
      <c r="M169" s="1">
        <v>0.999868999999999</v>
      </c>
      <c r="N169" s="1">
        <v>0.999968999999999</v>
      </c>
      <c r="O169" s="2"/>
      <c r="P169" s="1">
        <v>0.772589999999985</v>
      </c>
      <c r="Q169" s="1">
        <v>0.955041999999944</v>
      </c>
      <c r="R169" s="1">
        <v>0.987642999999955</v>
      </c>
      <c r="S169" s="1">
        <v>0.997649999999986</v>
      </c>
      <c r="T169" s="1">
        <v>0.999868999999999</v>
      </c>
      <c r="U169" s="1">
        <v>0.999968999999999</v>
      </c>
      <c r="V169" s="2">
        <f>17/64</f>
        <v>0.265625</v>
      </c>
      <c r="W169" s="1">
        <v>-0.3</v>
      </c>
      <c r="X169" s="1">
        <v>0.99177699999996</v>
      </c>
      <c r="Y169" s="1">
        <v>-0.3</v>
      </c>
      <c r="Z169" s="1">
        <v>0.991277999999956</v>
      </c>
      <c r="AA169" s="1">
        <v>-0.1</v>
      </c>
      <c r="AB169" s="1">
        <v>0.988078999999948</v>
      </c>
      <c r="AC169" s="1">
        <v>-0.7</v>
      </c>
      <c r="AD169" s="1">
        <v>0.966292999999937</v>
      </c>
      <c r="AE169" s="2"/>
    </row>
    <row r="170">
      <c r="A170" s="1"/>
      <c r="B170" s="1"/>
      <c r="C170" s="2"/>
      <c r="D170" s="2"/>
      <c r="E170" s="34">
        <v>0.980985999999943</v>
      </c>
      <c r="F170" s="34">
        <v>0.984248999999945</v>
      </c>
      <c r="G170" s="34">
        <v>0.99177699999996</v>
      </c>
      <c r="H170" s="2"/>
      <c r="I170" s="2"/>
      <c r="J170" s="2"/>
      <c r="K170" s="18">
        <v>0.972546999999944</v>
      </c>
      <c r="L170" s="34">
        <v>0.988399999999951</v>
      </c>
      <c r="M170" s="34">
        <v>0.991279999999959</v>
      </c>
      <c r="N170" s="34">
        <v>0.992006999999959</v>
      </c>
      <c r="O170" s="2"/>
      <c r="P170" s="2"/>
      <c r="Q170" s="2"/>
      <c r="R170" s="18">
        <v>0.989478999999949</v>
      </c>
      <c r="S170" s="34">
        <v>0.997222999999978</v>
      </c>
      <c r="T170" s="34">
        <v>0.998372999999986</v>
      </c>
      <c r="U170" s="34">
        <v>0.998647999999988</v>
      </c>
      <c r="V170" s="2">
        <f>18/64</f>
        <v>0.28125</v>
      </c>
      <c r="W170" s="1">
        <v>-0.1</v>
      </c>
      <c r="X170" s="18">
        <v>0.992006999999959</v>
      </c>
      <c r="Y170" s="1">
        <v>-0.3</v>
      </c>
      <c r="Z170" s="18">
        <v>0.991279999999959</v>
      </c>
      <c r="AA170" s="1">
        <v>-0.1</v>
      </c>
      <c r="AB170" s="18">
        <v>0.988399999999951</v>
      </c>
      <c r="AC170" s="1">
        <v>-0.5</v>
      </c>
      <c r="AD170" s="1">
        <v>0.95564599999994</v>
      </c>
      <c r="AE170" s="2"/>
    </row>
    <row r="171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>
        <f>19/64</f>
        <v>0.296875</v>
      </c>
      <c r="W171" s="1">
        <v>-0.1</v>
      </c>
      <c r="X171" s="1">
        <v>0.991923999999959</v>
      </c>
      <c r="Y171" s="1">
        <v>-0.2</v>
      </c>
      <c r="Z171" s="1">
        <v>0.990969999999956</v>
      </c>
      <c r="AA171" s="1">
        <v>-0.1</v>
      </c>
      <c r="AB171" s="1">
        <v>0.98816099999995</v>
      </c>
      <c r="AC171" s="2"/>
      <c r="AD171" s="2"/>
      <c r="AE171" s="2"/>
    </row>
    <row r="172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1">
        <f>20/64</f>
        <v>0.3125</v>
      </c>
      <c r="W172" s="1">
        <v>0.2</v>
      </c>
      <c r="X172" s="1">
        <v>0.991585999999957</v>
      </c>
      <c r="Y172" s="2"/>
      <c r="Z172" s="2"/>
      <c r="AA172" s="2"/>
      <c r="AB172" s="2"/>
      <c r="AC172" s="2"/>
      <c r="AD172" s="2"/>
      <c r="AE172" s="2"/>
    </row>
    <row r="173">
      <c r="A173" s="57" t="s">
        <v>900</v>
      </c>
      <c r="B173" s="57">
        <v>2.0</v>
      </c>
      <c r="C173" s="57">
        <v>4.0</v>
      </c>
      <c r="D173" s="57">
        <v>8.0</v>
      </c>
      <c r="E173" s="57">
        <v>16.0</v>
      </c>
      <c r="F173" s="57">
        <v>32.0</v>
      </c>
      <c r="G173" s="57">
        <v>64.0</v>
      </c>
      <c r="H173" s="70"/>
      <c r="I173" s="57">
        <v>2.0</v>
      </c>
      <c r="J173" s="57">
        <v>4.0</v>
      </c>
      <c r="K173" s="57">
        <v>8.0</v>
      </c>
      <c r="L173" s="57">
        <v>16.0</v>
      </c>
      <c r="M173" s="57">
        <v>32.0</v>
      </c>
      <c r="N173" s="57">
        <v>64.0</v>
      </c>
      <c r="O173" s="70"/>
      <c r="P173" s="57">
        <v>2.0</v>
      </c>
      <c r="Q173" s="57">
        <v>4.0</v>
      </c>
      <c r="R173" s="57">
        <v>8.0</v>
      </c>
      <c r="S173" s="57">
        <v>16.0</v>
      </c>
      <c r="T173" s="57">
        <v>32.0</v>
      </c>
      <c r="U173" s="57">
        <v>64.0</v>
      </c>
      <c r="V173" s="1" t="s">
        <v>892</v>
      </c>
      <c r="W173" s="1">
        <v>64.0</v>
      </c>
      <c r="X173" s="1">
        <v>64.0</v>
      </c>
      <c r="Y173" s="1">
        <v>32.0</v>
      </c>
      <c r="Z173" s="1">
        <v>32.0</v>
      </c>
      <c r="AA173" s="1">
        <v>16.0</v>
      </c>
      <c r="AB173" s="1">
        <v>16.0</v>
      </c>
      <c r="AC173" s="1">
        <v>8.0</v>
      </c>
      <c r="AD173" s="1">
        <v>8.0</v>
      </c>
      <c r="AE173" s="2"/>
    </row>
    <row r="174">
      <c r="A174" s="1" t="s">
        <v>892</v>
      </c>
      <c r="B174" s="2"/>
      <c r="C174" s="2"/>
      <c r="D174" s="2"/>
      <c r="E174" s="2"/>
      <c r="F174" s="2"/>
      <c r="G174" s="2"/>
      <c r="H174" s="1" t="s">
        <v>893</v>
      </c>
      <c r="I174" s="2"/>
      <c r="J174" s="2"/>
      <c r="K174" s="2"/>
      <c r="L174" s="2"/>
      <c r="M174" s="2"/>
      <c r="N174" s="2"/>
      <c r="O174" s="1">
        <v>0.0</v>
      </c>
      <c r="P174" s="1"/>
      <c r="Q174" s="1"/>
      <c r="R174" s="1"/>
      <c r="S174" s="2"/>
      <c r="T174" s="2"/>
      <c r="U174" s="2"/>
      <c r="V174" s="2">
        <f>10/64</f>
        <v>0.15625</v>
      </c>
      <c r="W174" s="1"/>
      <c r="X174" s="1"/>
      <c r="Y174" s="2"/>
      <c r="Z174" s="2"/>
      <c r="AA174" s="2"/>
      <c r="AB174" s="2"/>
      <c r="AC174" s="1"/>
      <c r="AD174" s="1"/>
      <c r="AE174" s="2"/>
    </row>
    <row r="175">
      <c r="A175" s="1">
        <v>0.0</v>
      </c>
      <c r="B175" s="1">
        <v>0.496327000000001</v>
      </c>
      <c r="C175" s="1">
        <v>0.713424999999994</v>
      </c>
      <c r="D175" s="1">
        <v>0.817909999999988</v>
      </c>
      <c r="E175" s="1">
        <v>0.854658999999983</v>
      </c>
      <c r="F175" s="1">
        <v>0.865970999999982</v>
      </c>
      <c r="G175" s="1">
        <v>0.868725999999975</v>
      </c>
      <c r="H175" s="1">
        <v>0.0</v>
      </c>
      <c r="I175" s="1">
        <v>0.496375999999998</v>
      </c>
      <c r="J175" s="1">
        <v>0.712904999999996</v>
      </c>
      <c r="K175" s="1">
        <v>0.817781999999987</v>
      </c>
      <c r="L175" s="1">
        <v>0.854700999999984</v>
      </c>
      <c r="M175" s="1">
        <v>0.865968999999983</v>
      </c>
      <c r="N175" s="2"/>
      <c r="O175" s="2">
        <f>22/64</f>
        <v>0.34375</v>
      </c>
      <c r="P175" s="1"/>
      <c r="Q175" s="2"/>
      <c r="R175" s="2"/>
      <c r="S175" s="2"/>
      <c r="T175" s="2"/>
      <c r="U175" s="1">
        <v>0.988715999999945</v>
      </c>
      <c r="V175" s="2">
        <f>11/64</f>
        <v>0.171875</v>
      </c>
      <c r="W175" s="1"/>
      <c r="X175" s="1"/>
      <c r="Y175" s="2"/>
      <c r="Z175" s="2"/>
      <c r="AA175" s="2"/>
      <c r="AB175" s="2"/>
      <c r="AC175" s="1"/>
      <c r="AD175" s="18"/>
      <c r="AE175" s="2"/>
    </row>
    <row r="176">
      <c r="A176" s="1">
        <f>9/64</f>
        <v>0.140625</v>
      </c>
      <c r="B176" s="1">
        <v>0.614413999999997</v>
      </c>
      <c r="C176" s="2"/>
      <c r="D176" s="2"/>
      <c r="E176" s="2"/>
      <c r="F176" s="2"/>
      <c r="G176" s="2"/>
      <c r="H176" s="2">
        <f>19/64</f>
        <v>0.296875</v>
      </c>
      <c r="I176" s="1">
        <v>0.734449999999993</v>
      </c>
      <c r="J176" s="2"/>
      <c r="K176" s="2"/>
      <c r="L176" s="2"/>
      <c r="M176" s="2"/>
      <c r="N176" s="2"/>
      <c r="O176" s="2">
        <f>23/64</f>
        <v>0.359375</v>
      </c>
      <c r="P176" s="1">
        <v>0.790470999999993</v>
      </c>
      <c r="Q176" s="2"/>
      <c r="R176" s="2"/>
      <c r="S176" s="2"/>
      <c r="T176" s="2"/>
      <c r="U176" s="2"/>
      <c r="V176" s="2">
        <f>12/64</f>
        <v>0.1875</v>
      </c>
      <c r="W176" s="1"/>
      <c r="X176" s="1"/>
      <c r="Y176" s="2"/>
      <c r="Z176" s="2"/>
      <c r="AA176" s="2"/>
      <c r="AB176" s="2"/>
      <c r="AC176" s="1"/>
      <c r="AD176" s="1"/>
      <c r="AE176" s="2"/>
    </row>
    <row r="177">
      <c r="A177" s="1">
        <f>10/64</f>
        <v>0.15625</v>
      </c>
      <c r="B177" s="1">
        <v>0.618944999999996</v>
      </c>
      <c r="C177" s="1">
        <v>0.814633999999991</v>
      </c>
      <c r="D177" s="2"/>
      <c r="E177" s="2"/>
      <c r="F177" s="2"/>
      <c r="G177" s="2"/>
      <c r="H177" s="2">
        <f>20/64</f>
        <v>0.3125</v>
      </c>
      <c r="I177" s="1">
        <v>0.736894999999997</v>
      </c>
      <c r="J177" s="2"/>
      <c r="K177" s="2"/>
      <c r="L177" s="2"/>
      <c r="M177" s="2"/>
      <c r="N177" s="2"/>
      <c r="O177" s="2">
        <f>24/64</f>
        <v>0.375</v>
      </c>
      <c r="P177" s="34">
        <v>0.790750999999991</v>
      </c>
      <c r="Q177" s="1">
        <v>0.926265999999957</v>
      </c>
      <c r="R177" s="2"/>
      <c r="S177" s="2"/>
      <c r="T177" s="2"/>
      <c r="U177" s="2"/>
      <c r="V177" s="2">
        <f>13/64</f>
        <v>0.203125</v>
      </c>
      <c r="W177" s="1"/>
      <c r="X177" s="1"/>
      <c r="Y177" s="2"/>
      <c r="Z177" s="2"/>
      <c r="AA177" s="2"/>
      <c r="AB177" s="2"/>
      <c r="AC177" s="1"/>
      <c r="AD177" s="1"/>
      <c r="AE177" s="2"/>
    </row>
    <row r="178">
      <c r="A178" s="1">
        <f>11/64</f>
        <v>0.171875</v>
      </c>
      <c r="B178" s="34">
        <v>0.619290999999996</v>
      </c>
      <c r="C178" s="34">
        <v>0.815791999999993</v>
      </c>
      <c r="D178" s="1">
        <v>0.885412999999977</v>
      </c>
      <c r="E178" s="2"/>
      <c r="F178" s="2"/>
      <c r="G178" s="2"/>
      <c r="H178" s="2">
        <f>21/64</f>
        <v>0.328125</v>
      </c>
      <c r="I178" s="34">
        <v>0.737190999999995</v>
      </c>
      <c r="J178" s="1">
        <v>0.895810999999975</v>
      </c>
      <c r="K178" s="2"/>
      <c r="L178" s="2"/>
      <c r="M178" s="2"/>
      <c r="N178" s="2"/>
      <c r="O178" s="2">
        <f>25/64</f>
        <v>0.390625</v>
      </c>
      <c r="P178" s="1">
        <v>0.790528999999993</v>
      </c>
      <c r="Q178" s="34">
        <v>0.92691399999996</v>
      </c>
      <c r="R178" s="1">
        <v>0.96911999999994</v>
      </c>
      <c r="S178" s="2"/>
      <c r="T178" s="2"/>
      <c r="U178" s="2"/>
      <c r="V178" s="2">
        <f>14/64</f>
        <v>0.21875</v>
      </c>
      <c r="W178" s="1"/>
      <c r="X178" s="1"/>
      <c r="Y178" s="1">
        <v>-0.6</v>
      </c>
      <c r="Z178" s="1">
        <v>0.984135999999947</v>
      </c>
      <c r="AA178" s="1">
        <v>-0.7</v>
      </c>
      <c r="AB178" s="1">
        <v>0.98088499999994</v>
      </c>
      <c r="AC178" s="1"/>
      <c r="AD178" s="1"/>
      <c r="AE178" s="2"/>
    </row>
    <row r="179">
      <c r="A179" s="1">
        <f>12/64</f>
        <v>0.1875</v>
      </c>
      <c r="B179" s="1">
        <v>0.618950999999997</v>
      </c>
      <c r="C179" s="1">
        <v>0.815401999999989</v>
      </c>
      <c r="D179" s="1">
        <v>0.886041999999974</v>
      </c>
      <c r="E179" s="2"/>
      <c r="F179" s="2"/>
      <c r="G179" s="2"/>
      <c r="H179" s="2">
        <f>22/64</f>
        <v>0.34375</v>
      </c>
      <c r="I179" s="1">
        <v>0.736410999999997</v>
      </c>
      <c r="J179" s="34">
        <v>0.895974999999977</v>
      </c>
      <c r="K179" s="1">
        <v>0.949778999999949</v>
      </c>
      <c r="L179" s="2"/>
      <c r="M179" s="2"/>
      <c r="N179" s="2"/>
      <c r="O179" s="2">
        <f>26/64</f>
        <v>0.40625</v>
      </c>
      <c r="P179" s="1">
        <v>0.789470999999994</v>
      </c>
      <c r="Q179" s="4">
        <v>0.926467999999962</v>
      </c>
      <c r="R179" s="1">
        <v>0.970461999999938</v>
      </c>
      <c r="S179" s="2"/>
      <c r="T179" s="2"/>
      <c r="U179" s="2"/>
      <c r="V179" s="2">
        <f>15/64</f>
        <v>0.234375</v>
      </c>
      <c r="W179" s="1">
        <v>-0.6</v>
      </c>
      <c r="X179" s="1">
        <v>0.990886999999957</v>
      </c>
      <c r="Y179" s="1">
        <v>-0.5</v>
      </c>
      <c r="Z179" s="34">
        <v>0.984248999999945</v>
      </c>
      <c r="AA179" s="1">
        <v>-0.5</v>
      </c>
      <c r="AB179" s="34">
        <v>0.980985999999943</v>
      </c>
      <c r="AC179" s="1"/>
      <c r="AD179" s="1"/>
      <c r="AE179" s="2"/>
    </row>
    <row r="180">
      <c r="A180" s="1">
        <f>13/64</f>
        <v>0.203125</v>
      </c>
      <c r="B180" s="1">
        <v>0.617592</v>
      </c>
      <c r="C180" s="2"/>
      <c r="D180" s="34">
        <v>0.886277999999976</v>
      </c>
      <c r="E180" s="1">
        <v>0.909081999999966</v>
      </c>
      <c r="F180" s="2"/>
      <c r="G180" s="2"/>
      <c r="H180" s="2">
        <f>23/64</f>
        <v>0.359375</v>
      </c>
      <c r="I180" s="1"/>
      <c r="J180" s="1">
        <v>0.895577999999974</v>
      </c>
      <c r="K180" s="1">
        <v>0.951756999999948</v>
      </c>
      <c r="L180" s="2"/>
      <c r="M180" s="2"/>
      <c r="N180" s="2"/>
      <c r="O180" s="2">
        <f>27/64</f>
        <v>0.421875</v>
      </c>
      <c r="P180" s="1"/>
      <c r="Q180" s="1"/>
      <c r="R180" s="1">
        <v>0.971352999999938</v>
      </c>
      <c r="S180" s="2"/>
      <c r="T180" s="2"/>
      <c r="U180" s="2"/>
      <c r="V180" s="2">
        <f>16/64</f>
        <v>0.25</v>
      </c>
      <c r="W180" s="1">
        <v>-0.5</v>
      </c>
      <c r="X180" s="1">
        <v>0.991538999999957</v>
      </c>
      <c r="Y180" s="1">
        <v>-0.4</v>
      </c>
      <c r="Z180" s="1">
        <v>0.984043999999945</v>
      </c>
      <c r="AA180" s="1">
        <v>-0.4</v>
      </c>
      <c r="AB180" s="1">
        <v>0.980579999999942</v>
      </c>
      <c r="AC180" s="1"/>
      <c r="AD180" s="1"/>
      <c r="AE180" s="2"/>
    </row>
    <row r="181">
      <c r="A181" s="1">
        <f>14/64</f>
        <v>0.21875</v>
      </c>
      <c r="B181" s="1"/>
      <c r="C181" s="2"/>
      <c r="D181" s="1">
        <v>0.885340999999977</v>
      </c>
      <c r="E181" s="34">
        <v>0.909648999999965</v>
      </c>
      <c r="F181" s="1">
        <v>0.917061999999967</v>
      </c>
      <c r="G181" s="1">
        <v>0.919430999999961</v>
      </c>
      <c r="H181" s="2">
        <f>24/64</f>
        <v>0.375</v>
      </c>
      <c r="I181" s="1"/>
      <c r="J181" s="2"/>
      <c r="K181" s="1">
        <v>0.953020999999946</v>
      </c>
      <c r="L181" s="2"/>
      <c r="M181" s="2"/>
      <c r="N181" s="2"/>
      <c r="O181" s="2">
        <f>28/64</f>
        <v>0.4375</v>
      </c>
      <c r="P181" s="1">
        <v>0.78295399999999</v>
      </c>
      <c r="Q181" s="2"/>
      <c r="R181" s="1">
        <v>0.972002999999938</v>
      </c>
      <c r="S181" s="2"/>
      <c r="T181" s="2"/>
      <c r="U181" s="2"/>
      <c r="V181" s="2">
        <f>17/64</f>
        <v>0.265625</v>
      </c>
      <c r="W181" s="1">
        <v>-0.3</v>
      </c>
      <c r="X181" s="34">
        <v>0.99177699999996</v>
      </c>
      <c r="Y181" s="1">
        <v>-0.5</v>
      </c>
      <c r="Z181" s="1">
        <v>0.983239999999941</v>
      </c>
      <c r="AA181" s="1"/>
      <c r="AB181" s="1"/>
      <c r="AC181" s="1"/>
      <c r="AD181" s="1"/>
      <c r="AE181" s="2"/>
    </row>
    <row r="182">
      <c r="A182" s="1">
        <f>15/64</f>
        <v>0.234375</v>
      </c>
      <c r="B182" s="1">
        <v>0.606573999999995</v>
      </c>
      <c r="C182" s="2"/>
      <c r="D182" s="2"/>
      <c r="E182" s="1">
        <v>0.909202999999967</v>
      </c>
      <c r="F182" s="34">
        <v>0.917280999999964</v>
      </c>
      <c r="G182" s="34">
        <v>0.919548999999963</v>
      </c>
      <c r="H182" s="2">
        <f>25/64</f>
        <v>0.390625</v>
      </c>
      <c r="I182" s="2"/>
      <c r="J182" s="2"/>
      <c r="K182" s="1">
        <v>0.953905999999943</v>
      </c>
      <c r="L182" s="2"/>
      <c r="M182" s="2"/>
      <c r="N182" s="2"/>
      <c r="O182" s="2">
        <f>29/64</f>
        <v>0.453125</v>
      </c>
      <c r="P182" s="1">
        <v>0.779799999999995</v>
      </c>
      <c r="Q182" s="2"/>
      <c r="R182" s="34">
        <v>0.972367999999939</v>
      </c>
      <c r="S182" s="4">
        <v>0.985563999999943</v>
      </c>
      <c r="T182" s="2"/>
      <c r="U182" s="2"/>
      <c r="V182" s="2">
        <f>18/64</f>
        <v>0.28125</v>
      </c>
      <c r="W182" s="1">
        <v>-0.2</v>
      </c>
      <c r="X182" s="1">
        <v>0.983474999999942</v>
      </c>
      <c r="Y182" s="1"/>
      <c r="Z182" s="18"/>
      <c r="AA182" s="1"/>
      <c r="AB182" s="18"/>
      <c r="AC182" s="1"/>
      <c r="AD182" s="1"/>
      <c r="AE182" s="2"/>
    </row>
    <row r="183">
      <c r="A183" s="1">
        <f>16/64</f>
        <v>0.25</v>
      </c>
      <c r="B183" s="1">
        <v>0.594928999999999</v>
      </c>
      <c r="C183" s="2"/>
      <c r="D183" s="2"/>
      <c r="E183" s="2"/>
      <c r="F183" s="1">
        <v>0.916206999999967</v>
      </c>
      <c r="G183" s="1">
        <v>0.918880999999964</v>
      </c>
      <c r="H183" s="2">
        <f>26/64</f>
        <v>0.40625</v>
      </c>
      <c r="I183" s="2"/>
      <c r="J183" s="2"/>
      <c r="K183" s="1">
        <v>0.954410999999943</v>
      </c>
      <c r="L183" s="2"/>
      <c r="M183" s="2"/>
      <c r="N183" s="2"/>
      <c r="O183" s="1">
        <f>30/64</f>
        <v>0.46875</v>
      </c>
      <c r="P183" s="2"/>
      <c r="Q183" s="2"/>
      <c r="R183" s="1">
        <v>0.972228999999938</v>
      </c>
      <c r="S183" s="34">
        <v>0.985749999999939</v>
      </c>
      <c r="T183" s="1">
        <v>0.988873999999944</v>
      </c>
      <c r="U183" s="1">
        <v>0.989649999999945</v>
      </c>
      <c r="V183" s="2"/>
      <c r="W183" s="1"/>
      <c r="X183" s="18"/>
      <c r="Y183" s="1"/>
      <c r="Z183" s="1"/>
      <c r="AA183" s="1"/>
      <c r="AB183" s="1"/>
      <c r="AC183" s="2"/>
      <c r="AD183" s="2"/>
      <c r="AE183" s="2"/>
    </row>
    <row r="184">
      <c r="A184" s="2">
        <f>17/64</f>
        <v>0.265625</v>
      </c>
      <c r="B184" s="1">
        <v>0.587098999999997</v>
      </c>
      <c r="C184" s="2"/>
      <c r="D184" s="2"/>
      <c r="E184" s="2"/>
      <c r="F184" s="2"/>
      <c r="G184" s="2"/>
      <c r="H184" s="2">
        <f>27/64</f>
        <v>0.421875</v>
      </c>
      <c r="I184" s="2"/>
      <c r="J184" s="2"/>
      <c r="K184" s="34">
        <v>0.95478399999995</v>
      </c>
      <c r="L184" s="1">
        <v>0.974178999999939</v>
      </c>
      <c r="M184" s="1">
        <v>0.978809999999936</v>
      </c>
      <c r="N184" s="1">
        <v>0.979931999999937</v>
      </c>
      <c r="O184" s="2">
        <f>31/64</f>
        <v>0.484375</v>
      </c>
      <c r="P184" s="2"/>
      <c r="Q184" s="2"/>
      <c r="R184" s="2"/>
      <c r="S184" s="1">
        <v>0.985647999999938</v>
      </c>
      <c r="T184" s="34">
        <v>0.988900999999942</v>
      </c>
      <c r="U184" s="34">
        <v>0.989626999999944</v>
      </c>
      <c r="V184" s="2"/>
      <c r="W184" s="1"/>
      <c r="X184" s="1"/>
      <c r="Y184" s="2"/>
      <c r="Z184" s="2"/>
      <c r="AA184" s="2"/>
      <c r="AB184" s="2"/>
      <c r="AC184" s="2"/>
      <c r="AD184" s="2"/>
      <c r="AE184" s="2"/>
    </row>
    <row r="185">
      <c r="A185" s="2">
        <f>18/64</f>
        <v>0.28125</v>
      </c>
      <c r="B185" s="2"/>
      <c r="C185" s="2"/>
      <c r="D185" s="2"/>
      <c r="E185" s="2"/>
      <c r="F185" s="2"/>
      <c r="G185" s="2"/>
      <c r="H185" s="2">
        <f>28/64</f>
        <v>0.4375</v>
      </c>
      <c r="I185" s="2"/>
      <c r="J185" s="2"/>
      <c r="K185" s="1">
        <v>0.954569999999946</v>
      </c>
      <c r="L185" s="1">
        <v>0.974226999999936</v>
      </c>
      <c r="M185" s="34">
        <v>0.979057999999935</v>
      </c>
      <c r="N185" s="34">
        <v>0.980155999999936</v>
      </c>
      <c r="O185" s="2">
        <f>32/64</f>
        <v>0.5</v>
      </c>
      <c r="P185" s="2"/>
      <c r="Q185" s="2"/>
      <c r="R185" s="2"/>
      <c r="S185" s="2"/>
      <c r="T185" s="1">
        <v>0.988581999999941</v>
      </c>
      <c r="U185" s="1">
        <v>0.989364999999942</v>
      </c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>
      <c r="A186" s="2">
        <f>19/64</f>
        <v>0.296875</v>
      </c>
      <c r="B186" s="2"/>
      <c r="C186" s="2"/>
      <c r="D186" s="2"/>
      <c r="E186" s="2"/>
      <c r="F186" s="2"/>
      <c r="G186" s="2"/>
      <c r="H186" s="2">
        <f>29/64</f>
        <v>0.453125</v>
      </c>
      <c r="I186" s="2"/>
      <c r="J186" s="2"/>
      <c r="K186" s="2"/>
      <c r="L186" s="34">
        <v>0.97425899999994</v>
      </c>
      <c r="M186" s="4">
        <v>0.978796999999935</v>
      </c>
      <c r="N186" s="1">
        <v>0.980100999999936</v>
      </c>
      <c r="O186" s="1">
        <f>33/64</f>
        <v>0.515625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>
      <c r="A187" s="2">
        <f>20/64</f>
        <v>0.3125</v>
      </c>
      <c r="B187" s="1">
        <v>0.534188000000001</v>
      </c>
      <c r="C187" s="2"/>
      <c r="D187" s="2"/>
      <c r="E187" s="2"/>
      <c r="F187" s="2"/>
      <c r="G187" s="2"/>
      <c r="H187" s="2">
        <f>30/64</f>
        <v>0.46875</v>
      </c>
      <c r="I187" s="2"/>
      <c r="J187" s="2"/>
      <c r="K187" s="2"/>
      <c r="L187" s="1">
        <v>0.973744999999937</v>
      </c>
      <c r="M187" s="1">
        <v>0.978535999999932</v>
      </c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>
      <c r="A188" s="2"/>
      <c r="B188" s="1">
        <v>0.873071999999976</v>
      </c>
      <c r="C188" s="1">
        <v>0.968888999999944</v>
      </c>
      <c r="D188" s="1">
        <v>0.99607599999997</v>
      </c>
      <c r="E188" s="1">
        <v>0.999810999999997</v>
      </c>
      <c r="F188" s="1">
        <v>0.999996999999999</v>
      </c>
      <c r="G188" s="1">
        <v>1.0</v>
      </c>
      <c r="H188" s="2"/>
      <c r="I188" s="1">
        <v>0.873071999999976</v>
      </c>
      <c r="J188" s="1">
        <v>0.968888999999944</v>
      </c>
      <c r="K188" s="1">
        <v>0.99607599999997</v>
      </c>
      <c r="L188" s="1">
        <v>0.999810999999997</v>
      </c>
      <c r="M188" s="1">
        <v>0.999996999999999</v>
      </c>
      <c r="N188" s="1">
        <v>1.0</v>
      </c>
      <c r="O188" s="2"/>
      <c r="P188" s="1">
        <v>0.873071999999976</v>
      </c>
      <c r="Q188" s="1">
        <v>0.968888999999944</v>
      </c>
      <c r="R188" s="1">
        <v>0.99607599999997</v>
      </c>
      <c r="S188" s="1">
        <v>0.999810999999997</v>
      </c>
      <c r="T188" s="1">
        <v>0.999996999999999</v>
      </c>
      <c r="U188" s="1">
        <v>1.0</v>
      </c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34">
        <v>0.988218999999943</v>
      </c>
      <c r="N189" s="34">
        <v>0.991058999999949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1" t="s">
        <v>892</v>
      </c>
      <c r="W190" s="1">
        <v>64.0</v>
      </c>
      <c r="X190" s="1">
        <v>64.0</v>
      </c>
      <c r="Y190" s="1">
        <v>32.0</v>
      </c>
      <c r="Z190" s="1">
        <v>32.0</v>
      </c>
      <c r="AA190" s="1">
        <v>16.0</v>
      </c>
      <c r="AB190" s="1">
        <v>16.0</v>
      </c>
      <c r="AC190" s="1">
        <v>8.0</v>
      </c>
      <c r="AD190" s="1">
        <v>8.0</v>
      </c>
      <c r="AE190" s="2"/>
    </row>
    <row r="191">
      <c r="A191" s="2"/>
      <c r="B191" s="2"/>
      <c r="C191" s="2"/>
      <c r="D191" s="2"/>
      <c r="E191" s="2"/>
      <c r="F191" s="2"/>
      <c r="G191" s="2"/>
      <c r="H191" s="2">
        <f t="shared" ref="H191:H192" si="1">12/64</f>
        <v>0.1875</v>
      </c>
      <c r="I191" s="2"/>
      <c r="J191" s="2"/>
      <c r="K191" s="2"/>
      <c r="L191" s="4"/>
      <c r="M191" s="4"/>
      <c r="N191" s="4"/>
      <c r="O191" s="2">
        <f t="shared" ref="O191:O192" si="2">14/64</f>
        <v>0.21875</v>
      </c>
      <c r="P191" s="2"/>
      <c r="Q191" s="2"/>
      <c r="R191" s="2"/>
      <c r="S191" s="2"/>
      <c r="T191" s="2"/>
      <c r="U191" s="2"/>
      <c r="V191" s="2"/>
      <c r="W191" s="1"/>
      <c r="X191" s="1"/>
      <c r="Y191" s="2"/>
      <c r="Z191" s="2"/>
      <c r="AA191" s="2"/>
      <c r="AB191" s="2"/>
      <c r="AC191" s="1"/>
      <c r="AD191" s="1"/>
      <c r="AE191" s="2"/>
    </row>
    <row r="192">
      <c r="A192" s="2"/>
      <c r="B192" s="2"/>
      <c r="C192" s="2"/>
      <c r="D192" s="2"/>
      <c r="E192" s="2"/>
      <c r="F192" s="2"/>
      <c r="G192" s="2"/>
      <c r="H192" s="2">
        <f t="shared" si="1"/>
        <v>0.1875</v>
      </c>
      <c r="I192" s="2"/>
      <c r="J192" s="2"/>
      <c r="K192" s="2"/>
      <c r="L192" s="4"/>
      <c r="M192" s="4"/>
      <c r="N192" s="4"/>
      <c r="O192" s="2">
        <f t="shared" si="2"/>
        <v>0.21875</v>
      </c>
      <c r="P192" s="2"/>
      <c r="Q192" s="2"/>
      <c r="R192" s="2"/>
      <c r="S192" s="2"/>
      <c r="T192" s="2"/>
      <c r="U192" s="2"/>
      <c r="V192" s="2"/>
      <c r="W192" s="1"/>
      <c r="X192" s="1"/>
      <c r="Y192" s="2"/>
      <c r="Z192" s="2"/>
      <c r="AA192" s="2"/>
      <c r="AB192" s="2"/>
      <c r="AC192" s="1"/>
      <c r="AD192" s="18"/>
      <c r="AE192" s="2"/>
    </row>
    <row r="193">
      <c r="A193" s="2"/>
      <c r="B193" s="2"/>
      <c r="C193" s="2"/>
      <c r="D193" s="2"/>
      <c r="E193" s="2"/>
      <c r="F193" s="2"/>
      <c r="G193" s="2"/>
      <c r="H193" s="2">
        <f t="shared" ref="H193:H194" si="3">13/64</f>
        <v>0.203125</v>
      </c>
      <c r="I193" s="2"/>
      <c r="J193" s="2"/>
      <c r="K193" s="2"/>
      <c r="L193" s="4"/>
      <c r="M193" s="4"/>
      <c r="N193" s="4"/>
      <c r="O193" s="2">
        <f t="shared" ref="O193:O194" si="4">15/64</f>
        <v>0.234375</v>
      </c>
      <c r="P193" s="2"/>
      <c r="Q193" s="2"/>
      <c r="R193" s="2"/>
      <c r="S193" s="2"/>
      <c r="T193" s="2"/>
      <c r="U193" s="1" t="s">
        <v>901</v>
      </c>
      <c r="V193" s="2"/>
      <c r="W193" s="1"/>
      <c r="X193" s="1"/>
      <c r="Y193" s="2"/>
      <c r="Z193" s="2"/>
      <c r="AA193" s="2"/>
      <c r="AB193" s="2"/>
      <c r="AC193" s="1"/>
      <c r="AD193" s="1"/>
      <c r="AE193" s="2"/>
    </row>
    <row r="194">
      <c r="A194" s="2"/>
      <c r="B194" s="2"/>
      <c r="C194" s="2"/>
      <c r="D194" s="2"/>
      <c r="E194" s="2"/>
      <c r="F194" s="2"/>
      <c r="G194" s="2"/>
      <c r="H194" s="2">
        <f t="shared" si="3"/>
        <v>0.203125</v>
      </c>
      <c r="I194" s="2"/>
      <c r="J194" s="2"/>
      <c r="K194" s="2"/>
      <c r="L194" s="4"/>
      <c r="M194" s="25"/>
      <c r="N194" s="25"/>
      <c r="O194" s="2">
        <f t="shared" si="4"/>
        <v>0.234375</v>
      </c>
      <c r="P194" s="2"/>
      <c r="Q194" s="2"/>
      <c r="R194" s="2"/>
      <c r="S194" s="2"/>
      <c r="T194" s="2"/>
      <c r="U194" s="1">
        <v>0.996362999999971</v>
      </c>
      <c r="V194" s="2">
        <f>10/64</f>
        <v>0.15625</v>
      </c>
      <c r="W194" s="1"/>
      <c r="X194" s="1"/>
      <c r="Y194" s="2"/>
      <c r="Z194" s="2"/>
      <c r="AA194" s="2"/>
      <c r="AB194" s="2"/>
      <c r="AC194" s="1"/>
      <c r="AD194" s="1"/>
      <c r="AE194" s="2"/>
    </row>
    <row r="195">
      <c r="A195" s="2"/>
      <c r="B195" s="2"/>
      <c r="C195" s="2"/>
      <c r="D195" s="2"/>
      <c r="E195" s="2"/>
      <c r="F195" s="2"/>
      <c r="G195" s="2"/>
      <c r="H195" s="2">
        <f t="shared" ref="H195:H196" si="5">14/64</f>
        <v>0.21875</v>
      </c>
      <c r="I195" s="2"/>
      <c r="J195" s="2"/>
      <c r="K195" s="2"/>
      <c r="L195" s="1" t="s">
        <v>901</v>
      </c>
      <c r="M195" s="1" t="s">
        <v>901</v>
      </c>
      <c r="N195" s="1" t="s">
        <v>901</v>
      </c>
      <c r="O195" s="2">
        <f t="shared" ref="O195:O196" si="6">16/64</f>
        <v>0.25</v>
      </c>
      <c r="P195" s="2"/>
      <c r="Q195" s="2"/>
      <c r="R195" s="2"/>
      <c r="S195" s="2"/>
      <c r="T195" s="2"/>
      <c r="U195" s="1" t="s">
        <v>902</v>
      </c>
      <c r="V195" s="2">
        <f>11/64</f>
        <v>0.171875</v>
      </c>
      <c r="W195" s="1"/>
      <c r="X195" s="1"/>
      <c r="Y195" s="2"/>
      <c r="Z195" s="2"/>
      <c r="AA195" s="2"/>
      <c r="AB195" s="2"/>
      <c r="AC195" s="1"/>
      <c r="AD195" s="1"/>
      <c r="AE195" s="2"/>
    </row>
    <row r="196">
      <c r="A196" s="2"/>
      <c r="B196" s="2"/>
      <c r="C196" s="2"/>
      <c r="D196" s="2"/>
      <c r="E196" s="2"/>
      <c r="F196" s="2"/>
      <c r="G196" s="2"/>
      <c r="H196" s="2">
        <f t="shared" si="5"/>
        <v>0.21875</v>
      </c>
      <c r="I196" s="2"/>
      <c r="J196" s="2"/>
      <c r="K196" s="2"/>
      <c r="L196" s="1">
        <v>0.972225999999933</v>
      </c>
      <c r="M196" s="1">
        <v>0.988125999999941</v>
      </c>
      <c r="N196" s="1">
        <v>0.990752999999949</v>
      </c>
      <c r="O196" s="2">
        <f t="shared" si="6"/>
        <v>0.25</v>
      </c>
      <c r="P196" s="2"/>
      <c r="Q196" s="2"/>
      <c r="R196" s="2"/>
      <c r="S196" s="2"/>
      <c r="T196" s="2"/>
      <c r="U196" s="1">
        <v>0.996578999999971</v>
      </c>
      <c r="V196" s="2">
        <f>12/64</f>
        <v>0.1875</v>
      </c>
      <c r="W196" s="1"/>
      <c r="X196" s="1"/>
      <c r="Y196" s="2"/>
      <c r="Z196" s="2"/>
      <c r="AA196" s="2"/>
      <c r="AB196" s="2"/>
      <c r="AC196" s="1"/>
      <c r="AD196" s="1"/>
      <c r="AE196" s="2"/>
    </row>
    <row r="197">
      <c r="A197" s="2"/>
      <c r="B197" s="2"/>
      <c r="C197" s="2"/>
      <c r="D197" s="2"/>
      <c r="E197" s="2"/>
      <c r="F197" s="2"/>
      <c r="G197" s="2"/>
      <c r="H197" s="2">
        <f t="shared" ref="H197:H198" si="7">15/64</f>
        <v>0.234375</v>
      </c>
      <c r="I197" s="2"/>
      <c r="J197" s="2"/>
      <c r="K197" s="2"/>
      <c r="L197" s="1" t="s">
        <v>903</v>
      </c>
      <c r="M197" s="1" t="s">
        <v>902</v>
      </c>
      <c r="N197" s="1" t="s">
        <v>902</v>
      </c>
      <c r="O197" s="2"/>
      <c r="P197" s="2"/>
      <c r="Q197" s="2"/>
      <c r="R197" s="2"/>
      <c r="S197" s="2"/>
      <c r="T197" s="2"/>
      <c r="U197" s="2"/>
      <c r="V197" s="2">
        <f>13/64</f>
        <v>0.203125</v>
      </c>
      <c r="W197" s="1"/>
      <c r="X197" s="18"/>
      <c r="Y197" s="2"/>
      <c r="Z197" s="2"/>
      <c r="AA197" s="2"/>
      <c r="AB197" s="2"/>
      <c r="AC197" s="1"/>
      <c r="AD197" s="1"/>
      <c r="AE197" s="2"/>
    </row>
    <row r="198">
      <c r="A198" s="2"/>
      <c r="B198" s="2"/>
      <c r="C198" s="2"/>
      <c r="D198" s="2"/>
      <c r="E198" s="2"/>
      <c r="F198" s="2"/>
      <c r="G198" s="2"/>
      <c r="H198" s="2">
        <f t="shared" si="7"/>
        <v>0.234375</v>
      </c>
      <c r="I198" s="2"/>
      <c r="J198" s="2"/>
      <c r="K198" s="2"/>
      <c r="L198" s="1">
        <v>0.970649999999936</v>
      </c>
      <c r="M198" s="34">
        <v>0.988218999999943</v>
      </c>
      <c r="N198" s="34">
        <v>0.991058999999949</v>
      </c>
      <c r="O198" s="2"/>
      <c r="P198" s="2"/>
      <c r="Q198" s="2"/>
      <c r="R198" s="2"/>
      <c r="S198" s="2"/>
      <c r="T198" s="2"/>
      <c r="U198" s="2"/>
      <c r="V198" s="2">
        <f>14/64</f>
        <v>0.21875</v>
      </c>
      <c r="W198" s="1"/>
      <c r="X198" s="1"/>
      <c r="Y198" s="1"/>
      <c r="Z198" s="1"/>
      <c r="AA198" s="1"/>
      <c r="AB198" s="1"/>
      <c r="AC198" s="1"/>
      <c r="AD198" s="1"/>
      <c r="AE198" s="2"/>
    </row>
    <row r="199">
      <c r="A199" s="2"/>
      <c r="B199" s="2"/>
      <c r="C199" s="2"/>
      <c r="D199" s="2"/>
      <c r="E199" s="2"/>
      <c r="F199" s="2"/>
      <c r="G199" s="2"/>
      <c r="H199" s="2">
        <f t="shared" ref="H199:H200" si="8">16/64</f>
        <v>0.25</v>
      </c>
      <c r="I199" s="2"/>
      <c r="J199" s="2"/>
      <c r="K199" s="2"/>
      <c r="L199" s="2"/>
      <c r="M199" s="1" t="s">
        <v>904</v>
      </c>
      <c r="N199" s="1" t="s">
        <v>905</v>
      </c>
      <c r="O199" s="2"/>
      <c r="P199" s="2"/>
      <c r="Q199" s="2"/>
      <c r="R199" s="2"/>
      <c r="S199" s="2"/>
      <c r="T199" s="2"/>
      <c r="U199" s="2"/>
      <c r="V199" s="2">
        <f>15/64</f>
        <v>0.234375</v>
      </c>
      <c r="W199" s="1"/>
      <c r="X199" s="18"/>
      <c r="Y199" s="1"/>
      <c r="Z199" s="18"/>
      <c r="AA199" s="1"/>
      <c r="AB199" s="18"/>
      <c r="AC199" s="1"/>
      <c r="AD199" s="1"/>
      <c r="AE199" s="2"/>
    </row>
    <row r="200">
      <c r="A200" s="2"/>
      <c r="B200" s="2"/>
      <c r="C200" s="2"/>
      <c r="D200" s="2"/>
      <c r="E200" s="2"/>
      <c r="F200" s="2"/>
      <c r="G200" s="2"/>
      <c r="H200" s="2">
        <f t="shared" si="8"/>
        <v>0.25</v>
      </c>
      <c r="I200" s="2"/>
      <c r="J200" s="2"/>
      <c r="K200" s="2"/>
      <c r="L200" s="2"/>
      <c r="M200" s="1">
        <v>0.987834999999941</v>
      </c>
      <c r="N200" s="1">
        <v>0.990820999999947</v>
      </c>
      <c r="O200" s="2"/>
      <c r="P200" s="2"/>
      <c r="Q200" s="2"/>
      <c r="R200" s="2"/>
      <c r="S200" s="2"/>
      <c r="T200" s="2"/>
      <c r="U200" s="2"/>
      <c r="V200" s="2">
        <f>16/64</f>
        <v>0.25</v>
      </c>
      <c r="W200" s="1">
        <v>-0.4</v>
      </c>
      <c r="X200" s="18">
        <v>0.984878999999946</v>
      </c>
      <c r="Y200" s="1"/>
      <c r="Z200" s="1"/>
      <c r="AA200" s="1"/>
      <c r="AB200" s="1"/>
      <c r="AC200" s="2"/>
      <c r="AD200" s="2"/>
      <c r="AE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>
        <f>17/64</f>
        <v>0.265625</v>
      </c>
      <c r="W201" s="1">
        <v>-0.3</v>
      </c>
      <c r="X201" s="1">
        <v>0.984396999999945</v>
      </c>
      <c r="Y201" s="2"/>
      <c r="Z201" s="2"/>
      <c r="AA201" s="2"/>
      <c r="AB201" s="2"/>
      <c r="AC201" s="2"/>
      <c r="AD201" s="2"/>
      <c r="AE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</sheetData>
  <hyperlinks>
    <hyperlink r:id="rId1" ref="A109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71" t="s">
        <v>897</v>
      </c>
    </row>
    <row r="3">
      <c r="B3" s="1">
        <v>65.0</v>
      </c>
      <c r="C3" s="1">
        <v>1.0</v>
      </c>
      <c r="D3" s="1"/>
    </row>
    <row r="4">
      <c r="B4" s="1">
        <v>60.0</v>
      </c>
      <c r="C4" s="1">
        <v>0.999271</v>
      </c>
    </row>
    <row r="5">
      <c r="B5" s="1">
        <v>55.0</v>
      </c>
      <c r="C5" s="1">
        <v>0.920334800000033</v>
      </c>
    </row>
    <row r="6">
      <c r="B6" s="1">
        <v>50.0</v>
      </c>
      <c r="C6" s="1">
        <v>0.712318200000008</v>
      </c>
    </row>
    <row r="7">
      <c r="B7" s="1">
        <v>45.0</v>
      </c>
      <c r="C7" s="1">
        <v>0.5050312</v>
      </c>
    </row>
    <row r="8">
      <c r="B8" s="1">
        <v>40.0</v>
      </c>
      <c r="C8" s="1">
        <v>0.344307000000014</v>
      </c>
    </row>
    <row r="9">
      <c r="B9" s="1">
        <v>35.0</v>
      </c>
      <c r="C9" s="1">
        <v>0.220011200000031</v>
      </c>
    </row>
    <row r="10">
      <c r="B10" s="1">
        <v>30.0</v>
      </c>
      <c r="C10" s="1"/>
    </row>
    <row r="11">
      <c r="B11" s="1"/>
      <c r="C11" s="1"/>
    </row>
    <row r="12">
      <c r="B12" s="1"/>
      <c r="C12" s="1"/>
    </row>
    <row r="13">
      <c r="B13" s="1"/>
      <c r="C13" s="1"/>
    </row>
    <row r="14">
      <c r="B14" s="1"/>
      <c r="C14" s="1"/>
    </row>
    <row r="15">
      <c r="B15" s="1"/>
      <c r="C15" s="1"/>
    </row>
    <row r="18">
      <c r="B18" s="1">
        <v>13.0</v>
      </c>
      <c r="C18" s="1">
        <v>0.394469400000007</v>
      </c>
    </row>
    <row r="19">
      <c r="B19" s="1">
        <v>12.0</v>
      </c>
      <c r="C19" s="1">
        <v>0.389117800000006</v>
      </c>
    </row>
    <row r="20">
      <c r="B20" s="1">
        <v>11.0</v>
      </c>
      <c r="C20" s="1">
        <v>0.384009600000009</v>
      </c>
    </row>
    <row r="21">
      <c r="B21" s="1">
        <v>10.0</v>
      </c>
      <c r="C21" s="1">
        <v>0.379121400000008</v>
      </c>
    </row>
    <row r="22">
      <c r="B22" s="1">
        <v>9.0</v>
      </c>
      <c r="C22" s="1">
        <v>0.374410600000009</v>
      </c>
    </row>
    <row r="23">
      <c r="B23" s="1">
        <v>8.0</v>
      </c>
      <c r="C23" s="1">
        <v>0.370079000000007</v>
      </c>
    </row>
    <row r="24">
      <c r="B24" s="1">
        <v>7.0</v>
      </c>
      <c r="C24" s="1">
        <v>0.366016600000008</v>
      </c>
    </row>
    <row r="25">
      <c r="B25" s="1">
        <v>6.0</v>
      </c>
      <c r="C25" s="1">
        <v>0.362255800000007</v>
      </c>
    </row>
    <row r="26">
      <c r="B26" s="1">
        <v>5.0</v>
      </c>
      <c r="C26" s="1">
        <v>0.358894600000012</v>
      </c>
    </row>
    <row r="27">
      <c r="B27" s="1">
        <v>4.0</v>
      </c>
      <c r="C27" s="1">
        <v>0.356100800000014</v>
      </c>
    </row>
    <row r="28">
      <c r="B28" s="1">
        <v>3.0</v>
      </c>
      <c r="C28" s="1">
        <v>0.354047200000014</v>
      </c>
    </row>
    <row r="29">
      <c r="B29" s="1">
        <v>2.0</v>
      </c>
      <c r="C29" s="1">
        <v>0.353912800000016</v>
      </c>
    </row>
    <row r="30">
      <c r="B30" s="1">
        <v>1.0</v>
      </c>
      <c r="C30" s="1">
        <v>0.356824400000011</v>
      </c>
    </row>
  </sheetData>
  <hyperlinks>
    <hyperlink r:id="rId1" ref="B2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84</v>
      </c>
      <c r="B1" s="1" t="s">
        <v>906</v>
      </c>
      <c r="C1" s="1" t="s">
        <v>907</v>
      </c>
      <c r="D1" s="1" t="s">
        <v>908</v>
      </c>
      <c r="E1" s="1" t="s">
        <v>909</v>
      </c>
      <c r="F1" s="1" t="s">
        <v>910</v>
      </c>
      <c r="G1" s="1" t="s">
        <v>911</v>
      </c>
      <c r="H1" s="29" t="s">
        <v>912</v>
      </c>
      <c r="I1" s="1" t="s">
        <v>219</v>
      </c>
      <c r="J1" s="2"/>
    </row>
    <row r="2">
      <c r="A2" s="2"/>
      <c r="B2" s="18">
        <v>0.256856000000001</v>
      </c>
      <c r="C2" s="18">
        <v>0.257011</v>
      </c>
      <c r="D2" s="18">
        <v>0.266528</v>
      </c>
      <c r="E2" s="18">
        <v>0.452739999999999</v>
      </c>
      <c r="F2" s="18">
        <v>0.749685999999993</v>
      </c>
      <c r="G2" s="18">
        <v>0.887117999999971</v>
      </c>
      <c r="H2" s="18">
        <v>0.917197999999964</v>
      </c>
      <c r="I2" s="1">
        <v>0.925292999999955</v>
      </c>
      <c r="J2" s="2"/>
    </row>
    <row r="3">
      <c r="B3" s="1"/>
      <c r="C3" s="1">
        <v>0.9</v>
      </c>
      <c r="D3" s="1">
        <v>0.9</v>
      </c>
      <c r="E3" s="1">
        <v>0.8</v>
      </c>
      <c r="F3" s="1">
        <v>0.8</v>
      </c>
      <c r="G3" s="1">
        <v>0.8</v>
      </c>
      <c r="H3" s="1"/>
      <c r="I3" s="1">
        <v>0.8</v>
      </c>
    </row>
    <row r="4">
      <c r="A4" s="1" t="s">
        <v>913</v>
      </c>
      <c r="B4" s="1">
        <v>0.256856000000001</v>
      </c>
      <c r="C4" s="1">
        <v>0.633021999999998</v>
      </c>
      <c r="D4" s="1">
        <v>0.823958999999984</v>
      </c>
      <c r="E4" s="1">
        <v>0.912563999999958</v>
      </c>
      <c r="F4" s="1">
        <v>0.930554999999959</v>
      </c>
      <c r="G4" s="1">
        <v>0.934146999999954</v>
      </c>
      <c r="H4" s="1"/>
      <c r="I4" s="1">
        <v>0.935063999999953</v>
      </c>
    </row>
    <row r="5">
      <c r="A5" s="1" t="s">
        <v>914</v>
      </c>
      <c r="B5" s="34">
        <v>0.256856000000001</v>
      </c>
      <c r="C5" s="34">
        <v>0.284283</v>
      </c>
      <c r="D5" s="34">
        <v>0.624507000000001</v>
      </c>
      <c r="E5" s="34">
        <v>0.906159999999975</v>
      </c>
      <c r="F5" s="34">
        <v>0.985322999999934</v>
      </c>
      <c r="G5" s="34">
        <v>0.995885999999961</v>
      </c>
      <c r="H5" s="34">
        <v>0.997464999999972</v>
      </c>
      <c r="I5" s="1">
        <v>0.997920999999976</v>
      </c>
    </row>
    <row r="6">
      <c r="A6" s="1"/>
      <c r="B6" s="1"/>
      <c r="C6" s="1">
        <v>0.7</v>
      </c>
      <c r="D6" s="1">
        <v>0.6</v>
      </c>
      <c r="E6" s="1">
        <v>0.5</v>
      </c>
      <c r="F6" s="1">
        <v>0.4</v>
      </c>
      <c r="G6" s="28">
        <v>0.3</v>
      </c>
      <c r="H6" s="1"/>
      <c r="I6" s="1">
        <v>0.0</v>
      </c>
    </row>
    <row r="7">
      <c r="A7" s="1"/>
      <c r="B7" s="1">
        <v>0.256856000000001</v>
      </c>
      <c r="C7" s="1">
        <v>0.633963999999998</v>
      </c>
      <c r="D7" s="1">
        <v>0.897030999999976</v>
      </c>
      <c r="E7" s="1">
        <v>0.977777999999932</v>
      </c>
      <c r="F7" s="1">
        <v>0.993950999999952</v>
      </c>
      <c r="G7" s="28">
        <v>0.996912999999968</v>
      </c>
      <c r="H7" s="1"/>
      <c r="I7" s="1">
        <v>0.997920999999976</v>
      </c>
    </row>
    <row r="8">
      <c r="A8" s="1" t="s">
        <v>85</v>
      </c>
      <c r="B8" s="1" t="s">
        <v>906</v>
      </c>
      <c r="C8" s="1" t="s">
        <v>907</v>
      </c>
      <c r="D8" s="1" t="s">
        <v>908</v>
      </c>
      <c r="E8" s="1" t="s">
        <v>909</v>
      </c>
      <c r="F8" s="1" t="s">
        <v>910</v>
      </c>
      <c r="G8" s="1" t="s">
        <v>911</v>
      </c>
      <c r="H8" s="29" t="s">
        <v>912</v>
      </c>
      <c r="I8" s="1" t="s">
        <v>219</v>
      </c>
    </row>
    <row r="9">
      <c r="A9" s="2"/>
      <c r="B9" s="18">
        <v>0.291420000000001</v>
      </c>
      <c r="C9" s="18">
        <v>0.291557000000002</v>
      </c>
      <c r="D9" s="18">
        <v>0.314494999999998</v>
      </c>
      <c r="E9" s="18">
        <v>0.527289</v>
      </c>
      <c r="F9" s="18">
        <v>0.754836999999992</v>
      </c>
      <c r="G9" s="18">
        <v>0.834561999999983</v>
      </c>
      <c r="H9" s="18">
        <v>0.853863999999977</v>
      </c>
      <c r="I9" s="1">
        <v>0.860170999999975</v>
      </c>
    </row>
    <row r="10">
      <c r="B10" s="1"/>
      <c r="C10" s="1">
        <v>0.9</v>
      </c>
      <c r="D10" s="1">
        <v>0.8</v>
      </c>
      <c r="E10" s="1">
        <v>0.8</v>
      </c>
      <c r="F10" s="1">
        <v>0.8</v>
      </c>
      <c r="G10" s="1">
        <v>0.8</v>
      </c>
      <c r="H10" s="1"/>
      <c r="I10" s="1">
        <v>0.8</v>
      </c>
    </row>
    <row r="11">
      <c r="B11" s="1">
        <v>0.291420000000001</v>
      </c>
      <c r="C11" s="1">
        <v>0.621360999999997</v>
      </c>
      <c r="D11" s="1">
        <v>0.812938999999987</v>
      </c>
      <c r="E11" s="1">
        <v>0.869567999999979</v>
      </c>
      <c r="F11" s="1">
        <v>0.881666999999978</v>
      </c>
      <c r="G11" s="1">
        <v>0.884311999999978</v>
      </c>
      <c r="H11" s="1"/>
      <c r="I11" s="1">
        <v>0.884607999999974</v>
      </c>
    </row>
    <row r="12">
      <c r="A12" s="1" t="s">
        <v>914</v>
      </c>
      <c r="B12" s="34">
        <v>0.291420000000001</v>
      </c>
      <c r="C12" s="34">
        <v>0.187389999999994</v>
      </c>
      <c r="D12" s="34">
        <v>0.551276</v>
      </c>
      <c r="E12" s="34">
        <v>0.858271999999982</v>
      </c>
      <c r="F12" s="34">
        <v>0.965657999999951</v>
      </c>
      <c r="G12" s="34">
        <v>0.986035999999948</v>
      </c>
      <c r="H12" s="34">
        <v>0.989839999999949</v>
      </c>
      <c r="I12" s="1">
        <v>0.991096999999952</v>
      </c>
    </row>
    <row r="13">
      <c r="A13" s="2"/>
      <c r="B13" s="1"/>
      <c r="C13" s="1">
        <v>0.6</v>
      </c>
      <c r="D13" s="1">
        <v>0.6</v>
      </c>
      <c r="E13" s="1">
        <v>0.5</v>
      </c>
      <c r="F13" s="1">
        <v>0.4</v>
      </c>
      <c r="G13" s="1">
        <v>0.3</v>
      </c>
      <c r="H13" s="1"/>
      <c r="I13" s="1">
        <v>0.0</v>
      </c>
    </row>
    <row r="14">
      <c r="B14" s="1">
        <v>0.291420000000001</v>
      </c>
      <c r="C14" s="1">
        <v>0.5319</v>
      </c>
      <c r="D14" s="1">
        <v>0.829049999999987</v>
      </c>
      <c r="E14" s="1">
        <v>0.950356999999956</v>
      </c>
      <c r="F14" s="1">
        <v>0.981131999999945</v>
      </c>
      <c r="G14" s="1">
        <v>0.988531999999949</v>
      </c>
      <c r="H14" s="1"/>
      <c r="I14" s="1">
        <v>0.991096999999952</v>
      </c>
    </row>
    <row r="15">
      <c r="A15" s="1" t="s">
        <v>86</v>
      </c>
      <c r="B15" s="1" t="s">
        <v>906</v>
      </c>
      <c r="C15" s="1" t="s">
        <v>907</v>
      </c>
      <c r="D15" s="1" t="s">
        <v>908</v>
      </c>
      <c r="E15" s="1" t="s">
        <v>909</v>
      </c>
      <c r="F15" s="1" t="s">
        <v>910</v>
      </c>
      <c r="G15" s="1" t="s">
        <v>911</v>
      </c>
      <c r="H15" s="29" t="s">
        <v>912</v>
      </c>
      <c r="I15" s="1" t="s">
        <v>219</v>
      </c>
    </row>
    <row r="16">
      <c r="A16" s="2"/>
      <c r="B16" s="18">
        <v>0.280906999999999</v>
      </c>
      <c r="C16" s="18">
        <v>0.280882999999999</v>
      </c>
      <c r="D16" s="18">
        <v>0.279535</v>
      </c>
      <c r="E16" s="18">
        <v>0.411506</v>
      </c>
      <c r="F16" s="18">
        <v>0.636395999999996</v>
      </c>
      <c r="G16" s="18">
        <v>0.712033999999993</v>
      </c>
      <c r="H16" s="18">
        <v>0.732880999999994</v>
      </c>
      <c r="I16" s="1"/>
    </row>
    <row r="17">
      <c r="B17" s="1"/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/>
      <c r="I17" s="1">
        <v>0.8</v>
      </c>
    </row>
    <row r="18">
      <c r="B18" s="1">
        <v>0.280906999999999</v>
      </c>
      <c r="C18" s="1">
        <v>0.601588999999995</v>
      </c>
      <c r="D18" s="1">
        <v>0.730504999999994</v>
      </c>
      <c r="E18" s="1">
        <v>0.768921999999987</v>
      </c>
      <c r="F18" s="1">
        <v>0.781172999999987</v>
      </c>
      <c r="G18" s="1">
        <v>0.785583999999989</v>
      </c>
      <c r="H18" s="1"/>
      <c r="I18" s="1"/>
    </row>
    <row r="19">
      <c r="A19" s="28" t="s">
        <v>914</v>
      </c>
      <c r="B19" s="34">
        <v>0.280906999999999</v>
      </c>
      <c r="C19" s="34">
        <v>0.0667009999999956</v>
      </c>
      <c r="D19" s="34">
        <v>0.484700999999999</v>
      </c>
      <c r="E19" s="34">
        <v>0.801074999999987</v>
      </c>
      <c r="F19" s="34">
        <v>0.941737999999967</v>
      </c>
      <c r="G19" s="34">
        <v>0.974118999999953</v>
      </c>
      <c r="H19" s="34">
        <v>0.980713999999954</v>
      </c>
      <c r="I19" s="1">
        <v>0.98274099999995</v>
      </c>
    </row>
    <row r="20">
      <c r="A20" s="2"/>
      <c r="B20" s="1"/>
      <c r="C20" s="1">
        <v>0.5</v>
      </c>
      <c r="D20" s="1">
        <v>0.5</v>
      </c>
      <c r="E20" s="1">
        <v>0.5</v>
      </c>
      <c r="F20" s="1">
        <v>0.4</v>
      </c>
      <c r="G20" s="1">
        <v>0.3</v>
      </c>
      <c r="H20" s="1"/>
      <c r="I20" s="1">
        <v>0.0</v>
      </c>
    </row>
    <row r="21">
      <c r="B21" s="1">
        <v>0.280906999999999</v>
      </c>
      <c r="C21" s="1">
        <v>0.440236999999999</v>
      </c>
      <c r="D21" s="1">
        <v>0.76500999999999</v>
      </c>
      <c r="E21" s="1">
        <v>0.921274999999969</v>
      </c>
      <c r="F21" s="1">
        <v>0.966830999999957</v>
      </c>
      <c r="G21" s="1">
        <v>0.978137999999953</v>
      </c>
      <c r="H21" s="1"/>
      <c r="I21" s="1">
        <v>0.98274099999995</v>
      </c>
    </row>
    <row r="22">
      <c r="A22" s="28" t="s">
        <v>87</v>
      </c>
      <c r="B22" s="28" t="s">
        <v>906</v>
      </c>
      <c r="C22" s="28" t="s">
        <v>907</v>
      </c>
      <c r="D22" s="28" t="s">
        <v>908</v>
      </c>
      <c r="E22" s="28" t="s">
        <v>909</v>
      </c>
      <c r="F22" s="28" t="s">
        <v>910</v>
      </c>
      <c r="G22" s="28" t="s">
        <v>911</v>
      </c>
      <c r="H22" s="29" t="s">
        <v>912</v>
      </c>
      <c r="I22" s="28" t="s">
        <v>219</v>
      </c>
    </row>
    <row r="23">
      <c r="A23" s="27"/>
      <c r="B23" s="45">
        <v>0.0088460000000002</v>
      </c>
      <c r="C23" s="31">
        <v>0.00894100000000021</v>
      </c>
      <c r="D23" s="31">
        <v>0.130360999999993</v>
      </c>
      <c r="E23" s="31">
        <v>0.0959539999999951</v>
      </c>
      <c r="F23" s="31">
        <v>0.362343999999999</v>
      </c>
      <c r="G23" s="31">
        <v>0.37432</v>
      </c>
      <c r="H23" s="31">
        <v>0.38177</v>
      </c>
      <c r="I23" s="26"/>
    </row>
    <row r="24">
      <c r="A24" s="27"/>
      <c r="B24" s="26"/>
      <c r="C24" s="28">
        <v>0.6</v>
      </c>
      <c r="D24" s="28">
        <v>0.2</v>
      </c>
      <c r="E24" s="28">
        <v>0.7</v>
      </c>
      <c r="F24" s="28">
        <v>0.7</v>
      </c>
      <c r="G24" s="28">
        <v>0.7</v>
      </c>
      <c r="H24" s="28"/>
      <c r="I24" s="28">
        <v>0.8</v>
      </c>
    </row>
    <row r="25">
      <c r="A25" s="27"/>
      <c r="B25" s="28">
        <v>0.0088460000000002</v>
      </c>
      <c r="C25" s="28">
        <v>0.463005999999996</v>
      </c>
      <c r="D25" s="28">
        <v>0.460721999999997</v>
      </c>
      <c r="E25" s="28">
        <v>0.464184999999998</v>
      </c>
      <c r="F25" s="28">
        <v>0.458839999999999</v>
      </c>
      <c r="G25" s="28">
        <v>0.453615999999999</v>
      </c>
      <c r="H25" s="27"/>
      <c r="I25" s="27"/>
    </row>
    <row r="26">
      <c r="A26" s="28" t="s">
        <v>914</v>
      </c>
      <c r="B26" s="49">
        <v>0.0088460000000002</v>
      </c>
      <c r="C26" s="49">
        <v>0.0360539999999983</v>
      </c>
      <c r="D26" s="49">
        <v>0.253082999999996</v>
      </c>
      <c r="E26" s="49">
        <v>0.670286999999992</v>
      </c>
      <c r="F26" s="49">
        <v>0.890012999999977</v>
      </c>
      <c r="G26" s="49">
        <v>0.954513999999966</v>
      </c>
      <c r="H26" s="55">
        <v>0.969333999999957</v>
      </c>
      <c r="I26" s="29">
        <v>0.973795999999956</v>
      </c>
    </row>
    <row r="27">
      <c r="A27" s="27"/>
      <c r="B27" s="27"/>
      <c r="C27" s="28">
        <v>0.7</v>
      </c>
      <c r="D27" s="28">
        <v>0.7</v>
      </c>
      <c r="E27" s="28">
        <v>0.6</v>
      </c>
      <c r="F27" s="28">
        <v>0.6</v>
      </c>
      <c r="G27" s="28">
        <v>0.5</v>
      </c>
      <c r="H27" s="1"/>
      <c r="I27" s="1">
        <v>0.0</v>
      </c>
    </row>
    <row r="28">
      <c r="A28" s="27"/>
      <c r="B28" s="28">
        <v>0.0088460000000002</v>
      </c>
      <c r="C28" s="28">
        <v>0.491049999999996</v>
      </c>
      <c r="D28" s="28">
        <v>0.787881999999988</v>
      </c>
      <c r="E28" s="28">
        <v>0.908836999999976</v>
      </c>
      <c r="F28" s="28">
        <v>0.952517999999968</v>
      </c>
      <c r="G28" s="28">
        <v>0.965490999999958</v>
      </c>
      <c r="H28" s="29"/>
      <c r="I28" s="29">
        <v>0.973795999999956</v>
      </c>
    </row>
    <row r="29">
      <c r="A29" s="29" t="s">
        <v>88</v>
      </c>
      <c r="B29" s="28" t="s">
        <v>906</v>
      </c>
      <c r="C29" s="28" t="s">
        <v>907</v>
      </c>
      <c r="D29" s="28" t="s">
        <v>908</v>
      </c>
      <c r="E29" s="28" t="s">
        <v>909</v>
      </c>
      <c r="F29" s="28" t="s">
        <v>910</v>
      </c>
      <c r="G29" s="28" t="s">
        <v>911</v>
      </c>
      <c r="H29" s="29" t="s">
        <v>912</v>
      </c>
      <c r="I29" s="28" t="s">
        <v>219</v>
      </c>
    </row>
    <row r="30">
      <c r="A30" s="2"/>
      <c r="B30" s="1">
        <v>0.628674999999994</v>
      </c>
      <c r="C30" s="1">
        <v>0.619742999999993</v>
      </c>
      <c r="D30" s="1">
        <v>0.641669999999992</v>
      </c>
      <c r="E30" s="1">
        <v>0.77249199999999</v>
      </c>
      <c r="F30" s="1">
        <v>0.818995999999989</v>
      </c>
      <c r="G30" s="1">
        <v>0.832026999999985</v>
      </c>
      <c r="H30" s="2"/>
      <c r="I30" s="2"/>
    </row>
    <row r="31">
      <c r="A31" s="29" t="s">
        <v>899</v>
      </c>
      <c r="B31" s="28" t="s">
        <v>906</v>
      </c>
      <c r="C31" s="28" t="s">
        <v>907</v>
      </c>
      <c r="D31" s="28" t="s">
        <v>908</v>
      </c>
      <c r="E31" s="28" t="s">
        <v>909</v>
      </c>
      <c r="F31" s="28" t="s">
        <v>910</v>
      </c>
      <c r="G31" s="28" t="s">
        <v>911</v>
      </c>
      <c r="H31" s="29" t="s">
        <v>912</v>
      </c>
      <c r="I31" s="28" t="s">
        <v>219</v>
      </c>
    </row>
    <row r="32">
      <c r="B32" s="1">
        <v>0.0091560000000004</v>
      </c>
      <c r="C32" s="1">
        <v>0.0107200000000003</v>
      </c>
      <c r="D32" s="1">
        <v>0.0117840000000004</v>
      </c>
      <c r="E32" s="1">
        <v>0.820411999999988</v>
      </c>
      <c r="F32" s="1">
        <v>0.82783399999999</v>
      </c>
      <c r="G32" s="1">
        <v>0.910907999999961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84</v>
      </c>
      <c r="B1" s="2"/>
      <c r="C1" s="2"/>
      <c r="D1" s="2"/>
      <c r="E1" s="2"/>
      <c r="F1" s="2"/>
      <c r="G1" s="2"/>
    </row>
    <row r="2">
      <c r="A2" s="1" t="s">
        <v>219</v>
      </c>
      <c r="B2" s="1" t="s">
        <v>892</v>
      </c>
      <c r="C2" s="1"/>
      <c r="D2" s="1"/>
      <c r="E2" s="1" t="s">
        <v>893</v>
      </c>
      <c r="F2" s="2"/>
      <c r="G2" s="1"/>
      <c r="H2" s="1" t="s">
        <v>115</v>
      </c>
      <c r="I2" s="2"/>
    </row>
    <row r="3">
      <c r="A3" s="1">
        <v>0.0</v>
      </c>
      <c r="B3" s="1">
        <v>0.268254999999999</v>
      </c>
      <c r="C3" s="1"/>
      <c r="D3" s="1">
        <v>0.0</v>
      </c>
      <c r="E3" s="1">
        <v>0.682846999999998</v>
      </c>
      <c r="F3" s="1"/>
      <c r="G3" s="1">
        <v>0.0</v>
      </c>
      <c r="H3" s="1">
        <v>0.613376999999999</v>
      </c>
      <c r="I3" s="2"/>
    </row>
    <row r="4">
      <c r="A4" s="2">
        <f>1/64</f>
        <v>0.015625</v>
      </c>
      <c r="B4" s="1"/>
      <c r="C4" s="1"/>
      <c r="D4" s="2"/>
      <c r="E4" s="2"/>
      <c r="F4" s="2"/>
      <c r="G4" s="2"/>
      <c r="H4" s="2"/>
      <c r="I4" s="2"/>
    </row>
    <row r="5">
      <c r="A5" s="2"/>
      <c r="B5" s="2"/>
      <c r="C5" s="2"/>
      <c r="D5" s="2"/>
      <c r="E5" s="2"/>
      <c r="F5" s="2"/>
      <c r="G5" s="2"/>
      <c r="H5" s="2"/>
      <c r="I5" s="2"/>
    </row>
    <row r="6">
      <c r="A6" s="2">
        <f>7/64</f>
        <v>0.109375</v>
      </c>
      <c r="B6" s="1">
        <v>0.215804999999995</v>
      </c>
      <c r="C6" s="1">
        <v>-1.9</v>
      </c>
      <c r="D6" s="2"/>
      <c r="E6" s="2"/>
      <c r="F6" s="2"/>
      <c r="G6" s="2"/>
      <c r="H6" s="2"/>
      <c r="I6" s="2"/>
    </row>
    <row r="7">
      <c r="A7" s="2">
        <f>8/64</f>
        <v>0.125</v>
      </c>
      <c r="B7" s="1">
        <v>0.202535999999994</v>
      </c>
      <c r="C7" s="1">
        <v>-1.8</v>
      </c>
      <c r="D7" s="1">
        <v>0.125</v>
      </c>
      <c r="E7" s="1">
        <v>0.649298000000002</v>
      </c>
      <c r="F7" s="1">
        <v>-1.8</v>
      </c>
      <c r="G7" s="2"/>
      <c r="H7" s="2"/>
      <c r="I7" s="2"/>
    </row>
    <row r="8">
      <c r="A8" s="2"/>
      <c r="B8" s="2"/>
      <c r="C8" s="2"/>
      <c r="D8" s="2"/>
      <c r="E8" s="2"/>
      <c r="F8" s="2"/>
      <c r="G8" s="2"/>
      <c r="H8" s="2"/>
      <c r="I8" s="2"/>
    </row>
    <row r="9">
      <c r="A9" s="2"/>
      <c r="B9" s="2"/>
      <c r="C9" s="2"/>
      <c r="D9" s="2"/>
      <c r="E9" s="2"/>
      <c r="F9" s="2"/>
      <c r="G9" s="2"/>
      <c r="H9" s="2"/>
      <c r="I9" s="2"/>
    </row>
    <row r="10">
      <c r="A10" s="2"/>
      <c r="B10" s="2"/>
      <c r="C10" s="2"/>
      <c r="D10" s="2"/>
      <c r="E10" s="2"/>
      <c r="F10" s="2"/>
      <c r="G10" s="2"/>
      <c r="H10" s="2"/>
      <c r="I10" s="2"/>
    </row>
    <row r="11">
      <c r="A11" s="1" t="s">
        <v>85</v>
      </c>
      <c r="B11" s="2"/>
      <c r="C11" s="2"/>
      <c r="D11" s="2"/>
      <c r="E11" s="2"/>
      <c r="F11" s="2"/>
      <c r="G11" s="2"/>
      <c r="H11" s="2"/>
      <c r="I11" s="2"/>
    </row>
    <row r="12">
      <c r="A12" s="1" t="s">
        <v>219</v>
      </c>
      <c r="B12" s="1" t="s">
        <v>892</v>
      </c>
      <c r="C12" s="1"/>
      <c r="D12" s="1"/>
      <c r="E12" s="1" t="s">
        <v>893</v>
      </c>
      <c r="F12" s="2"/>
      <c r="G12" s="1"/>
      <c r="H12" s="1" t="s">
        <v>115</v>
      </c>
      <c r="I12" s="2"/>
    </row>
    <row r="13">
      <c r="A13" s="1">
        <v>0.0</v>
      </c>
      <c r="B13" s="1">
        <v>0.421338000000001</v>
      </c>
      <c r="C13" s="2"/>
      <c r="D13" s="1">
        <v>0.0</v>
      </c>
      <c r="E13" s="1">
        <v>0.734060999999993</v>
      </c>
      <c r="F13" s="2"/>
      <c r="G13" s="1">
        <v>0.0</v>
      </c>
      <c r="H13" s="1">
        <v>0.689935</v>
      </c>
      <c r="I13" s="2"/>
    </row>
    <row r="14">
      <c r="A14" s="2"/>
      <c r="B14" s="2"/>
      <c r="C14" s="2"/>
      <c r="D14" s="2"/>
      <c r="E14" s="2"/>
      <c r="F14" s="2"/>
      <c r="G14" s="2"/>
    </row>
    <row r="15">
      <c r="A15" s="2"/>
      <c r="B15" s="2"/>
      <c r="C15" s="2"/>
      <c r="D15" s="2"/>
      <c r="E15" s="2"/>
      <c r="F15" s="2"/>
      <c r="G15" s="2"/>
    </row>
    <row r="16">
      <c r="A16" s="2"/>
      <c r="B16" s="2"/>
      <c r="C16" s="2"/>
      <c r="D16" s="2"/>
      <c r="E16" s="2"/>
      <c r="F16" s="2"/>
      <c r="G16" s="2"/>
    </row>
    <row r="17">
      <c r="A17" s="1" t="s">
        <v>84</v>
      </c>
      <c r="B17" s="2"/>
      <c r="C17" s="2"/>
      <c r="D17" s="2"/>
      <c r="E17" s="2"/>
      <c r="F17" s="2"/>
      <c r="G17" s="2"/>
    </row>
    <row r="18">
      <c r="A18" s="1" t="s">
        <v>219</v>
      </c>
      <c r="B18" s="1" t="s">
        <v>892</v>
      </c>
      <c r="C18" s="1"/>
      <c r="D18" s="1"/>
      <c r="E18" s="1" t="s">
        <v>893</v>
      </c>
      <c r="F18" s="2"/>
      <c r="G18" s="1"/>
      <c r="H18" s="1" t="s">
        <v>115</v>
      </c>
    </row>
    <row r="19">
      <c r="A19" s="1">
        <v>0.0</v>
      </c>
      <c r="B19" s="1">
        <v>0.729268999999993</v>
      </c>
      <c r="C19" s="1">
        <v>-2.9</v>
      </c>
      <c r="D19" s="1">
        <v>0.0</v>
      </c>
      <c r="E19" s="1">
        <v>0.712669999999994</v>
      </c>
      <c r="F19" s="1">
        <v>0.3</v>
      </c>
      <c r="G19" s="1">
        <v>0.0</v>
      </c>
      <c r="H19" s="1">
        <v>0.710619999999999</v>
      </c>
      <c r="I19" s="1">
        <v>-3.6</v>
      </c>
      <c r="J19" s="17">
        <v>0.0</v>
      </c>
    </row>
    <row r="20">
      <c r="A20" s="1">
        <f>8/64</f>
        <v>0.125</v>
      </c>
      <c r="B20" s="1">
        <v>0.888229999999966</v>
      </c>
      <c r="C20" s="1" t="s">
        <v>915</v>
      </c>
      <c r="D20" s="1">
        <f>7/64</f>
        <v>0.109375</v>
      </c>
      <c r="E20" s="1"/>
      <c r="F20" s="1"/>
      <c r="G20" s="1"/>
      <c r="H20" s="2"/>
    </row>
    <row r="21">
      <c r="A21" s="2"/>
      <c r="B21" s="1">
        <v>0.888974999999967</v>
      </c>
      <c r="C21" s="1" t="s">
        <v>916</v>
      </c>
      <c r="D21" s="2"/>
      <c r="E21" s="1">
        <v>0.712749999999992</v>
      </c>
      <c r="F21" s="1" t="s">
        <v>917</v>
      </c>
      <c r="G21" s="1"/>
      <c r="H21" s="2"/>
    </row>
    <row r="22">
      <c r="A22" s="2"/>
      <c r="B22" s="1">
        <v>0.88877199999997</v>
      </c>
      <c r="C22" s="1" t="s">
        <v>918</v>
      </c>
      <c r="D22" s="2"/>
      <c r="E22" s="1"/>
      <c r="F22" s="1"/>
      <c r="G22" s="1"/>
      <c r="H22" s="2"/>
    </row>
    <row r="23">
      <c r="A23" s="1">
        <f>9/64</f>
        <v>0.140625</v>
      </c>
      <c r="B23" s="1">
        <v>0.897993999999968</v>
      </c>
      <c r="C23" s="1" t="s">
        <v>919</v>
      </c>
      <c r="D23" s="1">
        <f>8/64</f>
        <v>0.125</v>
      </c>
      <c r="E23" s="1">
        <v>0.698966999999996</v>
      </c>
      <c r="F23" s="1" t="s">
        <v>920</v>
      </c>
      <c r="G23" s="1"/>
      <c r="H23" s="2"/>
    </row>
    <row r="24">
      <c r="A24" s="2"/>
      <c r="B24" s="1">
        <v>0.898048999999962</v>
      </c>
      <c r="C24" s="1" t="s">
        <v>921</v>
      </c>
      <c r="D24" s="2"/>
      <c r="E24" s="1">
        <v>0.710489999999996</v>
      </c>
      <c r="F24" s="1" t="s">
        <v>917</v>
      </c>
      <c r="G24" s="2"/>
      <c r="H24" s="2"/>
    </row>
    <row r="25">
      <c r="A25" s="2"/>
      <c r="B25" s="1">
        <v>0.897014999999964</v>
      </c>
      <c r="C25" s="1" t="s">
        <v>922</v>
      </c>
      <c r="D25" s="2"/>
      <c r="E25" s="1">
        <v>0.699867999999998</v>
      </c>
      <c r="F25" s="1" t="s">
        <v>923</v>
      </c>
      <c r="G25" s="2"/>
      <c r="H25" s="2"/>
    </row>
    <row r="26">
      <c r="A26" s="1">
        <f>10/64</f>
        <v>0.15625</v>
      </c>
      <c r="B26" s="1">
        <v>0.897993999999968</v>
      </c>
      <c r="C26" s="1" t="s">
        <v>919</v>
      </c>
      <c r="D26" s="1"/>
      <c r="E26" s="1">
        <v>0.613731999999997</v>
      </c>
      <c r="F26" s="1" t="s">
        <v>924</v>
      </c>
      <c r="G26" s="2"/>
      <c r="H26" s="2"/>
    </row>
    <row r="27">
      <c r="A27" s="2"/>
      <c r="B27" s="1">
        <v>0.898048999999962</v>
      </c>
      <c r="C27" s="1" t="s">
        <v>921</v>
      </c>
      <c r="D27" s="2"/>
      <c r="E27" s="2"/>
      <c r="F27" s="2"/>
      <c r="G27" s="2"/>
      <c r="H27" s="2"/>
    </row>
    <row r="28">
      <c r="A28" s="2"/>
      <c r="B28" s="1">
        <v>0.897014999999964</v>
      </c>
      <c r="C28" s="1" t="s">
        <v>922</v>
      </c>
      <c r="D28" s="1"/>
      <c r="E28" s="1"/>
      <c r="F28" s="2"/>
      <c r="G28" s="1"/>
      <c r="H28" s="1"/>
    </row>
    <row r="29">
      <c r="A29" s="1"/>
      <c r="B29" s="1"/>
      <c r="C29" s="2"/>
      <c r="D29" s="1"/>
      <c r="E29" s="1"/>
      <c r="F29" s="2"/>
      <c r="G29" s="1"/>
      <c r="H29" s="1"/>
    </row>
  </sheetData>
  <drawing r:id="rId1"/>
</worksheet>
</file>